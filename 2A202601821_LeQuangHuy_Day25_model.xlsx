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README" sheetId="1" state="visible" r:id="rId1"/>
    <sheet xmlns:r="http://schemas.openxmlformats.org/officeDocument/2006/relationships" name="1_Cost_Job" sheetId="2" state="visible" r:id="rId2"/>
    <sheet xmlns:r="http://schemas.openxmlformats.org/officeDocument/2006/relationships" name="2_Pricing" sheetId="3" state="visible" r:id="rId3"/>
    <sheet xmlns:r="http://schemas.openxmlformats.org/officeDocument/2006/relationships" name="3_Value_Metric" sheetId="4" state="visible" r:id="rId4"/>
    <sheet xmlns:r="http://schemas.openxmlformats.org/officeDocument/2006/relationships" name="4_Channel_Fit" sheetId="5" state="visible" r:id="rId5"/>
    <sheet xmlns:r="http://schemas.openxmlformats.org/officeDocument/2006/relationships" name="5_90Day_Plan" sheetId="6" state="visible" r:id="rId6"/>
    <sheet xmlns:r="http://schemas.openxmlformats.org/officeDocument/2006/relationships" name="6_Benchmarks"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11">
    <numFmt numFmtId="164" formatCode="0.0%"/>
    <numFmt numFmtId="165" formatCode="\$#,##0.00"/>
    <numFmt numFmtId="166" formatCode="\$#,##0.0000"/>
    <numFmt numFmtId="167" formatCode="#,##0.0"/>
    <numFmt numFmtId="168" formatCode="#,##0&quot; ₫&quot;"/>
    <numFmt numFmtId="169" formatCode="\$#,##0"/>
    <numFmt numFmtId="170" formatCode="#,##0.0\×"/>
    <numFmt numFmtId="171" formatCode="#,##0.000000"/>
    <numFmt numFmtId="172" formatCode="0.0"/>
    <numFmt numFmtId="173" formatCode="#,##0.00000000"/>
    <numFmt numFmtId="174" formatCode="0.00&quot;x&quot;"/>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color rgb="FF666666"/>
      <sz val="9"/>
    </font>
    <font>
      <name val="Arial"/>
      <charset val="1"/>
      <family val="0"/>
      <b val="1"/>
      <color rgb="FF1F2937"/>
      <sz val="11"/>
    </font>
    <font>
      <name val="Arial"/>
      <charset val="1"/>
      <family val="0"/>
      <color rgb="FF0000FF"/>
      <sz val="10"/>
    </font>
    <font>
      <name val="Arial"/>
      <charset val="1"/>
      <family val="0"/>
      <sz val="10"/>
    </font>
    <font>
      <name val="Arial"/>
      <charset val="1"/>
      <family val="0"/>
      <color rgb="FF008000"/>
      <sz val="10"/>
    </font>
    <font>
      <name val="Arial"/>
      <charset val="1"/>
      <family val="0"/>
      <b val="1"/>
      <sz val="10"/>
    </font>
    <font>
      <name val="Arial"/>
      <charset val="1"/>
      <family val="0"/>
      <b val="1"/>
      <color rgb="FFC00000"/>
      <sz val="11"/>
    </font>
    <font>
      <name val="Arial"/>
      <family val="2"/>
      <sz val="10"/>
    </font>
    <font>
      <name val="Arial"/>
      <charset val="1"/>
      <family val="0"/>
      <b val="1"/>
      <color rgb="FFFFFFFF"/>
      <sz val="10"/>
    </font>
    <font>
      <b val="1"/>
    </font>
    <font>
      <i val="1"/>
      <color rgb="00595959"/>
      <sz val="9"/>
    </font>
    <font>
      <color rgb="000563C1"/>
      <sz val="9"/>
      <u val="single"/>
    </font>
  </fonts>
  <fills count="11">
    <fill>
      <patternFill/>
    </fill>
    <fill>
      <patternFill patternType="gray125"/>
    </fill>
    <fill>
      <patternFill patternType="solid">
        <fgColor rgb="FF1F2937"/>
        <bgColor rgb="FF333300"/>
      </patternFill>
    </fill>
    <fill>
      <patternFill patternType="solid">
        <fgColor rgb="FFFFF2CC"/>
        <bgColor rgb="FFF2F2F2"/>
      </patternFill>
    </fill>
    <fill>
      <patternFill patternType="solid">
        <fgColor rgb="FFF2F2F2"/>
        <bgColor rgb="FFEDEDED"/>
      </patternFill>
    </fill>
    <fill>
      <patternFill patternType="solid">
        <fgColor rgb="FFEDEDED"/>
        <bgColor rgb="FFE8EAF6"/>
      </patternFill>
    </fill>
    <fill>
      <patternFill patternType="solid">
        <fgColor rgb="FFE8EAF6"/>
        <bgColor rgb="FFEDEDED"/>
      </patternFill>
    </fill>
    <fill>
      <patternFill patternType="solid">
        <fgColor rgb="00D9E2F3"/>
      </patternFill>
    </fill>
    <fill>
      <patternFill patternType="solid">
        <fgColor rgb="00FFC7CE"/>
      </patternFill>
    </fill>
    <fill>
      <patternFill patternType="solid">
        <fgColor rgb="00F2F2F2"/>
      </patternFill>
    </fill>
    <fill>
      <patternFill patternType="solid">
        <fgColor rgb="00C6EFCE"/>
      </patternFill>
    </fill>
  </fills>
  <borders count="7">
    <border>
      <left/>
      <right/>
      <top/>
      <bottom/>
      <diagonal/>
    </border>
    <border>
      <left style="thin">
        <color rgb="FFD0D0D0"/>
      </left>
      <right style="thin">
        <color rgb="FFD0D0D0"/>
      </right>
      <top style="thin">
        <color rgb="FFD0D0D0"/>
      </top>
      <bottom style="thin">
        <color rgb="FFD0D0D0"/>
      </bottom>
      <diagonal/>
    </border>
    <border>
      <left style="thin">
        <color rgb="00BFBFBF"/>
      </left>
      <right style="thin">
        <color rgb="00BFBFBF"/>
      </right>
      <top style="thin">
        <color rgb="00BFBFBF"/>
      </top>
      <bottom style="thin">
        <color rgb="00BFBFBF"/>
      </bottom>
    </border>
    <border>
      <left/>
      <right/>
      <top style="thin">
        <color rgb="FFD0D0D0"/>
      </top>
      <bottom/>
      <diagonal/>
    </border>
    <border>
      <left/>
      <right style="thin">
        <color rgb="FFD0D0D0"/>
      </right>
      <top style="thin">
        <color rgb="FFD0D0D0"/>
      </top>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9">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3" borderId="1" applyAlignment="1" pivotButton="0" quotePrefix="0" xfId="0">
      <alignment horizontal="general" vertical="bottom"/>
    </xf>
    <xf numFmtId="0" fontId="8" fillId="0" borderId="0" applyAlignment="1" pivotButton="0" quotePrefix="0" xfId="0">
      <alignment horizontal="general" vertical="bottom"/>
    </xf>
    <xf numFmtId="0" fontId="8" fillId="4" borderId="1" applyAlignment="1" pivotButton="0" quotePrefix="0" xfId="0">
      <alignment horizontal="general" vertical="bottom"/>
    </xf>
    <xf numFmtId="0" fontId="9" fillId="0" borderId="1" applyAlignment="1" pivotButton="0" quotePrefix="0" xfId="0">
      <alignment horizontal="general" vertical="bottom"/>
    </xf>
    <xf numFmtId="0" fontId="8" fillId="5" borderId="1" applyAlignment="1" pivotButton="0" quotePrefix="0" xfId="0">
      <alignment horizontal="general" vertical="bottom"/>
    </xf>
    <xf numFmtId="0" fontId="10" fillId="0" borderId="0" applyAlignment="1" pivotButton="0" quotePrefix="0" xfId="0">
      <alignment horizontal="general" vertical="bottom"/>
    </xf>
    <xf numFmtId="0" fontId="6" fillId="6" borderId="0" applyAlignment="1" pivotButton="0" quotePrefix="0" xfId="0">
      <alignment horizontal="general" vertical="bottom"/>
    </xf>
    <xf numFmtId="0" fontId="0" fillId="6" borderId="0" applyAlignment="1" pivotButton="0" quotePrefix="0" xfId="0">
      <alignment horizontal="general" vertical="bottom"/>
    </xf>
    <xf numFmtId="0" fontId="7" fillId="3" borderId="1" applyAlignment="1" pivotButton="0" quotePrefix="0" xfId="0">
      <alignment horizontal="center" vertical="bottom"/>
    </xf>
    <xf numFmtId="3" fontId="7" fillId="3" borderId="1" applyAlignment="1" pivotButton="0" quotePrefix="0" xfId="0">
      <alignment horizontal="general" vertical="bottom"/>
    </xf>
    <xf numFmtId="164" fontId="7" fillId="3" borderId="1" applyAlignment="1" pivotButton="0" quotePrefix="0" xfId="0">
      <alignment horizontal="general" vertical="bottom"/>
    </xf>
    <xf numFmtId="3" fontId="8" fillId="4" borderId="1" applyAlignment="1" pivotButton="0" quotePrefix="0" xfId="0">
      <alignment horizontal="general" vertical="bottom"/>
    </xf>
    <xf numFmtId="165" fontId="7" fillId="3" borderId="1" applyAlignment="1" pivotButton="0" quotePrefix="0" xfId="0">
      <alignment horizontal="general" vertical="bottom"/>
    </xf>
    <xf numFmtId="166" fontId="8" fillId="4" borderId="1" applyAlignment="1" pivotButton="0" quotePrefix="0" xfId="0">
      <alignment horizontal="general" vertical="bottom"/>
    </xf>
    <xf numFmtId="166" fontId="11" fillId="4" borderId="1" applyAlignment="1" pivotButton="0" quotePrefix="0" xfId="0">
      <alignment horizontal="general" vertical="bottom"/>
    </xf>
    <xf numFmtId="164" fontId="8" fillId="4" borderId="1" applyAlignment="1" pivotButton="0" quotePrefix="0" xfId="0">
      <alignment horizontal="general" vertical="bottom"/>
    </xf>
    <xf numFmtId="166" fontId="7" fillId="3" borderId="1" applyAlignment="1" pivotButton="0" quotePrefix="0" xfId="0">
      <alignment horizontal="general" vertical="bottom"/>
    </xf>
    <xf numFmtId="167" fontId="7" fillId="3" borderId="1" applyAlignment="1" pivotButton="0" quotePrefix="0" xfId="0">
      <alignment horizontal="general" vertical="bottom"/>
    </xf>
    <xf numFmtId="165" fontId="8" fillId="4" borderId="1" applyAlignment="1" pivotButton="0" quotePrefix="0" xfId="0">
      <alignment horizontal="general" vertical="bottom"/>
    </xf>
    <xf numFmtId="165" fontId="11" fillId="4" borderId="1" applyAlignment="1" pivotButton="0" quotePrefix="0" xfId="0">
      <alignment horizontal="general" vertical="bottom"/>
    </xf>
    <xf numFmtId="168" fontId="8" fillId="4" borderId="1" applyAlignment="1" pivotButton="0" quotePrefix="0" xfId="0">
      <alignment horizontal="general" vertical="bottom"/>
    </xf>
    <xf numFmtId="166" fontId="9" fillId="4" borderId="1" applyAlignment="1" pivotButton="0" quotePrefix="0" xfId="0">
      <alignment horizontal="general" vertical="bottom"/>
    </xf>
    <xf numFmtId="169" fontId="7" fillId="3" borderId="1" applyAlignment="1" pivotButton="0" quotePrefix="0" xfId="0">
      <alignment horizontal="general" vertical="bottom"/>
    </xf>
    <xf numFmtId="170" fontId="8" fillId="4" borderId="1" applyAlignment="1" pivotButton="0" quotePrefix="0" xfId="0">
      <alignment horizontal="general" vertical="bottom"/>
    </xf>
    <xf numFmtId="164" fontId="11" fillId="4" borderId="1" applyAlignment="1" pivotButton="0" quotePrefix="0" xfId="0">
      <alignment horizontal="general" vertical="bottom"/>
    </xf>
    <xf numFmtId="164" fontId="9" fillId="4" borderId="1" applyAlignment="1" pivotButton="0" quotePrefix="0" xfId="0">
      <alignment horizontal="general" vertical="bottom"/>
    </xf>
    <xf numFmtId="0" fontId="10" fillId="5" borderId="1" applyAlignment="1" pivotButton="0" quotePrefix="0" xfId="0">
      <alignment horizontal="general" vertical="bottom"/>
    </xf>
    <xf numFmtId="164" fontId="8" fillId="5" borderId="1" applyAlignment="1" pivotButton="0" quotePrefix="0" xfId="0">
      <alignment horizontal="general" vertical="bottom"/>
    </xf>
    <xf numFmtId="3" fontId="11" fillId="4" borderId="1" applyAlignment="1" pivotButton="0" quotePrefix="0" xfId="0">
      <alignment horizontal="general" vertical="bottom"/>
    </xf>
    <xf numFmtId="0" fontId="11" fillId="4" borderId="1" applyAlignment="1" pivotButton="0" quotePrefix="0" xfId="0">
      <alignment horizontal="general" vertical="bottom"/>
    </xf>
    <xf numFmtId="169" fontId="11" fillId="4" borderId="1" applyAlignment="1" pivotButton="0" quotePrefix="0" xfId="0">
      <alignment horizontal="general" vertical="bottom"/>
    </xf>
    <xf numFmtId="169" fontId="8" fillId="4" borderId="1" applyAlignment="1" pivotButton="0" quotePrefix="0" xfId="0">
      <alignment horizontal="general" vertical="bottom"/>
    </xf>
    <xf numFmtId="4" fontId="11" fillId="4" borderId="1" applyAlignment="1" pivotButton="0" quotePrefix="0" xfId="0">
      <alignment horizontal="general" vertical="bottom"/>
    </xf>
    <xf numFmtId="170" fontId="11" fillId="4" borderId="1" applyAlignment="1" pivotButton="0" quotePrefix="0" xfId="0">
      <alignment horizontal="general" vertical="bottom"/>
    </xf>
    <xf numFmtId="0" fontId="7" fillId="3" borderId="1" applyAlignment="1" pivotButton="0" quotePrefix="0" xfId="0">
      <alignment horizontal="general" vertical="top" wrapText="1"/>
    </xf>
    <xf numFmtId="0" fontId="13" fillId="2" borderId="1" applyAlignment="1" pivotButton="0" quotePrefix="0" xfId="0">
      <alignment horizontal="general" vertical="bottom"/>
    </xf>
    <xf numFmtId="0" fontId="8" fillId="5" borderId="1" applyAlignment="1" pivotButton="0" quotePrefix="0" xfId="0">
      <alignment horizontal="general" vertical="top"/>
    </xf>
    <xf numFmtId="0" fontId="5"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0"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3" borderId="1" applyAlignment="1" pivotButton="0" quotePrefix="0" xfId="0">
      <alignment horizontal="general" vertical="bottom"/>
    </xf>
    <xf numFmtId="0" fontId="8" fillId="0" borderId="0" applyAlignment="1" pivotButton="0" quotePrefix="0" xfId="0">
      <alignment horizontal="general" vertical="bottom"/>
    </xf>
    <xf numFmtId="0" fontId="8" fillId="4" borderId="1" applyAlignment="1" pivotButton="0" quotePrefix="0" xfId="0">
      <alignment horizontal="general" vertical="bottom"/>
    </xf>
    <xf numFmtId="0" fontId="9" fillId="0" borderId="1" applyAlignment="1" pivotButton="0" quotePrefix="0" xfId="0">
      <alignment horizontal="general" vertical="bottom"/>
    </xf>
    <xf numFmtId="0" fontId="8" fillId="5" borderId="1" applyAlignment="1" pivotButton="0" quotePrefix="0" xfId="0">
      <alignment horizontal="general" vertical="bottom"/>
    </xf>
    <xf numFmtId="0" fontId="10" fillId="0" borderId="0" applyAlignment="1" pivotButton="0" quotePrefix="0" xfId="0">
      <alignment horizontal="general" vertical="bottom"/>
    </xf>
    <xf numFmtId="0" fontId="14" fillId="7" borderId="0" pivotButton="0" quotePrefix="0" xfId="0"/>
    <xf numFmtId="0" fontId="14" fillId="0" borderId="0" pivotButton="0" quotePrefix="0" xfId="0"/>
    <xf numFmtId="0" fontId="0" fillId="0" borderId="0" applyAlignment="1" pivotButton="0" quotePrefix="0" xfId="0">
      <alignment vertical="top" wrapText="1"/>
    </xf>
    <xf numFmtId="0" fontId="14" fillId="8" borderId="0" pivotButton="0" quotePrefix="0" xfId="0"/>
    <xf numFmtId="0" fontId="6" fillId="6" borderId="0" applyAlignment="1" pivotButton="0" quotePrefix="0" xfId="0">
      <alignment horizontal="general" vertical="bottom"/>
    </xf>
    <xf numFmtId="0" fontId="0" fillId="6" borderId="0" applyAlignment="1" pivotButton="0" quotePrefix="0" xfId="0">
      <alignment horizontal="general" vertical="bottom"/>
    </xf>
    <xf numFmtId="0" fontId="7" fillId="3" borderId="1" applyAlignment="1" pivotButton="0" quotePrefix="0" xfId="0">
      <alignment vertical="top" wrapText="1"/>
    </xf>
    <xf numFmtId="0" fontId="5" fillId="0" borderId="0" applyAlignment="1" pivotButton="0" quotePrefix="0" xfId="0">
      <alignment vertical="top" wrapText="1"/>
    </xf>
    <xf numFmtId="0" fontId="7" fillId="3" borderId="1" applyAlignment="1" pivotButton="0" quotePrefix="0" xfId="0">
      <alignment horizontal="center" vertical="bottom"/>
    </xf>
    <xf numFmtId="3" fontId="7" fillId="3" borderId="1" applyAlignment="1" pivotButton="0" quotePrefix="0" xfId="0">
      <alignment horizontal="general" vertical="bottom"/>
    </xf>
    <xf numFmtId="10" fontId="7" fillId="3" borderId="1" applyAlignment="1" pivotButton="0" quotePrefix="0" xfId="0">
      <alignment horizontal="general" vertical="bottom"/>
    </xf>
    <xf numFmtId="3" fontId="8" fillId="4" borderId="1" applyAlignment="1" pivotButton="0" quotePrefix="0" xfId="0">
      <alignment horizontal="general" vertical="bottom"/>
    </xf>
    <xf numFmtId="171" fontId="7" fillId="3" borderId="1" applyAlignment="1" pivotButton="0" quotePrefix="0" xfId="0">
      <alignment horizontal="general" vertical="bottom"/>
    </xf>
    <xf numFmtId="2" fontId="7" fillId="3" borderId="1" applyAlignment="1" pivotButton="0" quotePrefix="0" xfId="0">
      <alignment horizontal="general" vertical="bottom"/>
    </xf>
    <xf numFmtId="172" fontId="7" fillId="3" borderId="1" applyAlignment="1" pivotButton="0" quotePrefix="0" xfId="0">
      <alignment horizontal="general" vertical="bottom"/>
    </xf>
    <xf numFmtId="166" fontId="8" fillId="4" borderId="1" applyAlignment="1" pivotButton="0" quotePrefix="0" xfId="0">
      <alignment horizontal="general" vertical="bottom"/>
    </xf>
    <xf numFmtId="166" fontId="11" fillId="4" borderId="1" applyAlignment="1" pivotButton="0" quotePrefix="0" xfId="0">
      <alignment horizontal="general" vertical="bottom"/>
    </xf>
    <xf numFmtId="164" fontId="8" fillId="4" borderId="1" applyAlignment="1" pivotButton="0" quotePrefix="0" xfId="0">
      <alignment horizontal="general" vertical="bottom"/>
    </xf>
    <xf numFmtId="166" fontId="7" fillId="3" borderId="1" applyAlignment="1" pivotButton="0" quotePrefix="0" xfId="0">
      <alignment horizontal="general" vertical="bottom"/>
    </xf>
    <xf numFmtId="167" fontId="7" fillId="3" borderId="1" applyAlignment="1" pivotButton="0" quotePrefix="0" xfId="0">
      <alignment horizontal="general" vertical="bottom"/>
    </xf>
    <xf numFmtId="165" fontId="7" fillId="3" borderId="1" applyAlignment="1" pivotButton="0" quotePrefix="0" xfId="0">
      <alignment horizontal="general" vertical="bottom"/>
    </xf>
    <xf numFmtId="173" fontId="7" fillId="3" borderId="1" applyAlignment="1" pivotButton="0" quotePrefix="0" xfId="0">
      <alignment horizontal="general" vertical="bottom"/>
    </xf>
    <xf numFmtId="164" fontId="7" fillId="3" borderId="1" applyAlignment="1" pivotButton="0" quotePrefix="0" xfId="0">
      <alignment horizontal="general" vertical="bottom"/>
    </xf>
    <xf numFmtId="4" fontId="7" fillId="3" borderId="1" applyAlignment="1" pivotButton="0" quotePrefix="0" xfId="0">
      <alignment horizontal="general" vertical="bottom"/>
    </xf>
    <xf numFmtId="165" fontId="8" fillId="4" borderId="1" applyAlignment="1" pivotButton="0" quotePrefix="0" xfId="0">
      <alignment horizontal="general" vertical="bottom"/>
    </xf>
    <xf numFmtId="165" fontId="11" fillId="4" borderId="1" applyAlignment="1" pivotButton="0" quotePrefix="0" xfId="0">
      <alignment horizontal="general" vertical="bottom"/>
    </xf>
    <xf numFmtId="168" fontId="8" fillId="4" borderId="1" applyAlignment="1" pivotButton="0" quotePrefix="0" xfId="0">
      <alignment horizontal="general" vertical="bottom"/>
    </xf>
    <xf numFmtId="3" fontId="0" fillId="9" borderId="2" pivotButton="0" quotePrefix="0" xfId="0"/>
    <xf numFmtId="164" fontId="0" fillId="9" borderId="2" pivotButton="0" quotePrefix="0" xfId="0"/>
    <xf numFmtId="173" fontId="0" fillId="9" borderId="2" pivotButton="0" quotePrefix="0" xfId="0"/>
    <xf numFmtId="4" fontId="14" fillId="9" borderId="2" pivotButton="0" quotePrefix="0" xfId="0"/>
    <xf numFmtId="0" fontId="15" fillId="0" borderId="0" applyAlignment="1" pivotButton="0" quotePrefix="0" xfId="0">
      <alignment vertical="top" wrapText="1"/>
    </xf>
    <xf numFmtId="4" fontId="0" fillId="9" borderId="2" pivotButton="0" quotePrefix="0" xfId="0"/>
    <xf numFmtId="10" fontId="0" fillId="9" borderId="2" pivotButton="0" quotePrefix="0" xfId="0"/>
    <xf numFmtId="166" fontId="9" fillId="4" borderId="1" applyAlignment="1" pivotButton="0" quotePrefix="0" xfId="0">
      <alignment horizontal="general" vertical="bottom"/>
    </xf>
    <xf numFmtId="169" fontId="7" fillId="3" borderId="1" applyAlignment="1" pivotButton="0" quotePrefix="0" xfId="0">
      <alignment horizontal="general" vertical="bottom"/>
    </xf>
    <xf numFmtId="170" fontId="8" fillId="4" borderId="1" applyAlignment="1" pivotButton="0" quotePrefix="0" xfId="0">
      <alignment horizontal="general" vertical="bottom"/>
    </xf>
    <xf numFmtId="164" fontId="11" fillId="4" borderId="1" applyAlignment="1" pivotButton="0" quotePrefix="0" xfId="0">
      <alignment horizontal="general" vertical="bottom"/>
    </xf>
    <xf numFmtId="164" fontId="9" fillId="4" borderId="1" applyAlignment="1" pivotButton="0" quotePrefix="0" xfId="0">
      <alignment horizontal="general" vertical="bottom"/>
    </xf>
    <xf numFmtId="0" fontId="10" fillId="5" borderId="1" applyAlignment="1" pivotButton="0" quotePrefix="0" xfId="0">
      <alignment horizontal="general" vertical="bottom"/>
    </xf>
    <xf numFmtId="164" fontId="8" fillId="5" borderId="1" applyAlignment="1" pivotButton="0" quotePrefix="0" xfId="0">
      <alignment horizontal="general" vertical="bottom"/>
    </xf>
    <xf numFmtId="3" fontId="11" fillId="4" borderId="1" applyAlignment="1" pivotButton="0" quotePrefix="0" xfId="0">
      <alignment horizontal="general" vertical="bottom"/>
    </xf>
    <xf numFmtId="0" fontId="11" fillId="4" borderId="1" applyAlignment="1" pivotButton="0" quotePrefix="0" xfId="0">
      <alignment horizontal="general" vertical="bottom"/>
    </xf>
    <xf numFmtId="169" fontId="11" fillId="4" borderId="1" applyAlignment="1" pivotButton="0" quotePrefix="0" xfId="0">
      <alignment horizontal="general" vertical="bottom"/>
    </xf>
    <xf numFmtId="169" fontId="8" fillId="4" borderId="1" applyAlignment="1" pivotButton="0" quotePrefix="0" xfId="0">
      <alignment horizontal="general" vertical="bottom"/>
    </xf>
    <xf numFmtId="4" fontId="11" fillId="4" borderId="1" applyAlignment="1" pivotButton="0" quotePrefix="0" xfId="0">
      <alignment horizontal="general" vertical="bottom"/>
    </xf>
    <xf numFmtId="170" fontId="11" fillId="4" borderId="1" applyAlignment="1" pivotButton="0" quotePrefix="0" xfId="0">
      <alignment horizontal="general" vertical="bottom"/>
    </xf>
    <xf numFmtId="0" fontId="7" fillId="3" borderId="1" applyAlignment="1" pivotButton="0" quotePrefix="0" xfId="0">
      <alignment horizontal="general" vertical="top" wrapText="1"/>
    </xf>
    <xf numFmtId="0" fontId="13" fillId="2" borderId="1" applyAlignment="1" pivotButton="0" quotePrefix="0" xfId="0">
      <alignment horizontal="general" vertical="bottom"/>
    </xf>
    <xf numFmtId="0" fontId="8" fillId="5" borderId="1" applyAlignment="1" pivotButton="0" quotePrefix="0" xfId="0">
      <alignment horizontal="general" vertical="top"/>
    </xf>
    <xf numFmtId="0" fontId="5" fillId="5" borderId="1" applyAlignment="1" pivotButton="0" quotePrefix="0" xfId="0">
      <alignment horizontal="general" vertical="top" wrapText="1"/>
    </xf>
    <xf numFmtId="171" fontId="0" fillId="9" borderId="2" pivotButton="0" quotePrefix="0" xfId="0"/>
    <xf numFmtId="174" fontId="0" fillId="10" borderId="2" pivotButton="0" quotePrefix="0" xfId="0"/>
    <xf numFmtId="174" fontId="0" fillId="8" borderId="2" pivotButton="0" quotePrefix="0" xfId="0"/>
    <xf numFmtId="10" fontId="0" fillId="8" borderId="2" pivotButton="0" quotePrefix="0" xfId="0"/>
    <xf numFmtId="10" fontId="0" fillId="10" borderId="2" pivotButton="0" quotePrefix="0" xfId="0"/>
    <xf numFmtId="0" fontId="16" fillId="3" borderId="1" applyAlignment="1" pivotButton="0" quotePrefix="0" xfId="0">
      <alignment horizontal="general" vertical="bottom"/>
    </xf>
    <xf numFmtId="0" fontId="0" fillId="0" borderId="5" pivotButton="0" quotePrefix="0" xfId="0"/>
    <xf numFmtId="0" fontId="0" fillId="0" borderId="6" pivotButton="0" quotePrefix="0" xfId="0"/>
    <xf numFmtId="0" fontId="7" fillId="3" borderId="2" applyAlignment="1" pivotButton="0" quotePrefix="0" xfId="0">
      <alignment vertical="top" wrapText="1"/>
    </xf>
    <xf numFmtId="0" fontId="7" fillId="8" borderId="1" applyAlignment="1" pivotButton="0" quotePrefix="0" xfId="0">
      <alignment vertical="top" wrapText="1"/>
    </xf>
    <xf numFmtId="0" fontId="0" fillId="0" borderId="2" pivotButton="0" quotePrefix="0" xfId="0"/>
    <xf numFmtId="0" fontId="0" fillId="0" borderId="2" applyAlignment="1" pivotButton="0" quotePrefix="0" xfId="0">
      <alignment vertical="top" wrapText="1"/>
    </xf>
    <xf numFmtId="0" fontId="16" fillId="0"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AF6"/>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F2F2F2"/>
      <rgbColor rgb="FFEDEDED"/>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B5" authorId="0" shapeId="0">
      <text>
        <t>Ví dụ mẫu đang điền sẵn — thay bằng sản phẩm của bạn.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fin.ai/pricing/" TargetMode="External" Id="rId1"/><Relationship Type="http://schemas.openxmlformats.org/officeDocument/2006/relationships/hyperlink" Target="https://support.zendesk.com/hc/en-us/articles/9570369117338-About-automated-resolution-tiers" TargetMode="External" Id="rId2"/></Relationships>
</file>

<file path=xl/worksheets/_rels/sheet7.xml.rels><Relationships xmlns="http://schemas.openxmlformats.org/package/2006/relationships"><Relationship Type="http://schemas.openxmlformats.org/officeDocument/2006/relationships/hyperlink" Target="https://api-docs.deepseek.com/quick_start/pricing" TargetMode="External" Id="rId1"/><Relationship Type="http://schemas.openxmlformats.org/officeDocument/2006/relationships/hyperlink" Target="https://api-docs.deepseek.com/quick_start/pricing" TargetMode="External" Id="rId2"/><Relationship Type="http://schemas.openxmlformats.org/officeDocument/2006/relationships/hyperlink" Target="https://api-docs.deepseek.com/quick_start/pricing" TargetMode="External" Id="rId3"/><Relationship Type="http://schemas.openxmlformats.org/officeDocument/2006/relationships/hyperlink" Target="https://api-docs.deepseek.com/quick_start/pricing" TargetMode="External" Id="rId4"/><Relationship Type="http://schemas.openxmlformats.org/officeDocument/2006/relationships/hyperlink" Target="https://api-docs.deepseek.com/quick_start/pricing" TargetMode="External" Id="rId5"/><Relationship Type="http://schemas.openxmlformats.org/officeDocument/2006/relationships/hyperlink" Target="https://platform.claude.com/docs/en/about-claude/pricing" TargetMode="External" Id="rId6"/><Relationship Type="http://schemas.openxmlformats.org/officeDocument/2006/relationships/hyperlink" Target="https://support.zendesk.com/hc/en-us/articles/9570369117338-About-automated-resolution-tiers" TargetMode="External" Id="rId7"/><Relationship Type="http://schemas.openxmlformats.org/officeDocument/2006/relationships/hyperlink" Target="https://fin.ai/pricing/" TargetMode="External" Id="rId8"/></Relationships>
</file>

<file path=xl/worksheets/sheet1.xml><?xml version="1.0" encoding="utf-8"?>
<worksheet xmlns="http://schemas.openxmlformats.org/spreadsheetml/2006/main">
  <sheetPr filterMode="0">
    <outlinePr summaryBelow="1" summaryRight="1"/>
    <pageSetUpPr fitToPage="0"/>
  </sheetPr>
  <dimension ref="A1:H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43" min="1" max="1"/>
    <col width="40" customWidth="1" style="43" min="2" max="2"/>
    <col width="18" customWidth="1" style="43" min="3" max="8"/>
    <col width="40" customWidth="1" style="44" min="4" max="4"/>
    <col width="30" customWidth="1" style="44" min="5" max="5"/>
  </cols>
  <sheetData>
    <row r="1" ht="24" customHeight="1" s="44">
      <c r="A1" s="45" t="inlineStr">
        <is>
          <t>DAY 28 — MONETIZATION MODEL</t>
        </is>
      </c>
      <c r="B1" s="46" t="n"/>
      <c r="C1" s="46" t="n"/>
      <c r="D1" s="46" t="n"/>
      <c r="E1" s="46" t="n"/>
      <c r="F1" s="46" t="n"/>
      <c r="G1" s="46" t="n"/>
      <c r="H1" s="46" t="n"/>
    </row>
    <row r="2" ht="15" customHeight="1" s="44">
      <c r="A2" s="47" t="inlineStr">
        <is>
          <t>AI Pricing · GTM · Evidence — AI-IN-ACTION Track 1</t>
        </is>
      </c>
    </row>
    <row r="4" ht="15" customHeight="1" s="44">
      <c r="A4" s="48" t="inlineStr">
        <is>
          <t>QUY ƯỚC MÀU — CHỈ ĐIỀN VÀO Ô MÀU VÀNG</t>
        </is>
      </c>
    </row>
    <row r="5" ht="15" customHeight="1" s="44">
      <c r="A5" s="49" t="inlineStr">
        <is>
          <t>Ô VÀNG, chữ xanh dương</t>
        </is>
      </c>
      <c r="B5" s="50" t="inlineStr">
        <is>
          <t>Ô bạn phải điền</t>
        </is>
      </c>
    </row>
    <row r="6" ht="15" customHeight="1" s="44">
      <c r="A6" s="51" t="inlineStr">
        <is>
          <t>Ô XÁM, chữ đen</t>
        </is>
      </c>
      <c r="B6" s="50" t="inlineStr">
        <is>
          <t>Công thức tự tính — KHÔNG SỬA</t>
        </is>
      </c>
    </row>
    <row r="7" ht="15" customHeight="1" s="44">
      <c r="A7" s="52" t="inlineStr">
        <is>
          <t>Chữ xanh lá</t>
        </is>
      </c>
      <c r="B7" s="50" t="inlineStr">
        <is>
          <t>Link sang tab khác</t>
        </is>
      </c>
    </row>
    <row r="8" ht="15" customHeight="1" s="44">
      <c r="A8" s="53" t="inlineStr">
        <is>
          <t>Ô XÁM đậm nhạt</t>
        </is>
      </c>
      <c r="B8" s="50" t="inlineStr">
        <is>
          <t>Bảng tham chiếu, chỉ đọc</t>
        </is>
      </c>
    </row>
    <row r="10" ht="15" customHeight="1" s="44">
      <c r="A10" s="48" t="inlineStr">
        <is>
          <t>THỨ TỰ LÀM — 6 TRẠM, 120 PHÚT</t>
        </is>
      </c>
    </row>
    <row r="11" ht="15" customHeight="1" s="44">
      <c r="A11" s="54" t="inlineStr">
        <is>
          <t>Trạm 1 · 15'</t>
        </is>
      </c>
      <c r="B11" s="50" t="inlineStr">
        <is>
          <t>Ngân sách khách &amp; định nghĩa Job → điền S1–S2 của tab 1_Cost_Job</t>
        </is>
      </c>
    </row>
    <row r="12" ht="15" customHeight="1" s="44">
      <c r="A12" s="54" t="inlineStr">
        <is>
          <t>Trạm 2 · 20'</t>
        </is>
      </c>
      <c r="B12" s="50" t="inlineStr">
        <is>
          <t>Value Metric → tab 3_Value_Metric</t>
        </is>
      </c>
    </row>
    <row r="13" ht="15" customHeight="1" s="44">
      <c r="A13" s="54" t="inlineStr">
        <is>
          <t>Trạm 3 · 30'</t>
        </is>
      </c>
      <c r="B13" s="50" t="inlineStr">
        <is>
          <t>Cost/Job, giá sàn &amp; giá trần → tab 1_Cost_Job (S3–S8) rồi 2_Pricing</t>
        </is>
      </c>
    </row>
    <row r="14" ht="15" customHeight="1" s="44">
      <c r="A14" s="54" t="inlineStr">
        <is>
          <t>Trạm 4 · 20'</t>
        </is>
      </c>
      <c r="B14" s="50" t="inlineStr">
        <is>
          <t>Kênh phân phối &amp; Affordability Test → tab 4_Channel_Fit</t>
        </is>
      </c>
    </row>
    <row r="15" ht="15" customHeight="1" s="44">
      <c r="A15" s="54" t="inlineStr">
        <is>
          <t>Trạm 5 · 15'</t>
        </is>
      </c>
      <c r="B15" s="50" t="inlineStr">
        <is>
          <t>Pain Moment &amp; 90-Day Plan → tab 5_90Day_Plan</t>
        </is>
      </c>
    </row>
    <row r="16" ht="15" customHeight="1" s="44">
      <c r="A16" s="54" t="inlineStr">
        <is>
          <t>Trạm 6 · 20'</t>
        </is>
      </c>
      <c r="B16" s="50" t="inlineStr">
        <is>
          <t>Evidence Pack &amp; ráp One-Pager → tab 5_90Day_Plan + file .docx</t>
        </is>
      </c>
    </row>
    <row r="18" ht="15" customHeight="1" s="44">
      <c r="A18" s="48" t="inlineStr">
        <is>
          <t>3 QUY TẮC KHÔNG ĐƯỢC PHÁ</t>
        </is>
      </c>
    </row>
    <row r="19" ht="15" customHeight="1" s="44">
      <c r="A19" s="50" t="inlineStr">
        <is>
          <t>1. Chia cho số job HOÀN THÀNH, không phải số job đã thử.</t>
        </is>
      </c>
    </row>
    <row r="20" ht="15" customHeight="1" s="44">
      <c r="A20" s="50" t="inlineStr">
        <is>
          <t>2. HITL và Retry không được để 0 nếu không có lý do viết ra được.</t>
        </is>
      </c>
    </row>
    <row r="21" ht="15" customHeight="1" s="44">
      <c r="A21" s="50" t="inlineStr">
        <is>
          <t>3. Mọi con số giá API phải có NGÀY kiểm tra (xem tab 6_Benchmarks).</t>
        </is>
      </c>
    </row>
    <row r="23" ht="15" customHeight="1" s="44">
      <c r="A23" s="47" t="inlineStr">
        <is>
          <t>Giá tham chiếu trong workbook này được chốt ngày 26/08/2026. Nhiều mức giá là KHUYẾN MẠI CÓ HẠN.</t>
        </is>
      </c>
    </row>
    <row r="24" ht="15" customHeight="1" s="44">
      <c r="A24" s="47" t="inlineStr">
        <is>
          <t>Bạn PHẢI tự mở lại trang giá của nhà cung cấp và cập nhật — đây là một phần của bài tập.</t>
        </is>
      </c>
    </row>
    <row r="26">
      <c r="A26" s="55" t="inlineStr">
        <is>
          <t>BÀI LÀM — Lê Quang Huy · 2A202601821 · WalletCare / FIN-05 · lập 27/08/2026</t>
        </is>
      </c>
    </row>
    <row r="27">
      <c r="A27" s="56" t="inlineStr">
        <is>
          <t>Sản phẩm</t>
        </is>
      </c>
      <c r="B27" s="57" t="inlineStr">
        <is>
          <t>WalletCare / FIN-05 — AI Agent CSKH ví điện tử &amp; xử lý khiếu nại giao dịch (repo P-121, nhóm T121)</t>
        </is>
      </c>
    </row>
    <row r="28">
      <c r="A28" s="56" t="inlineStr">
        <is>
          <t>Ngân sách khách</t>
        </is>
      </c>
      <c r="B28" s="57" t="inlineStr">
        <is>
          <t>Vận hành CSKH của ví. Không phải ngân sách phần mềm — ta cạnh tranh với chi phí mỗi ticket do người xử lý (34.091 ₫), không cạnh tranh với một SaaS khác.</t>
        </is>
      </c>
    </row>
    <row r="29">
      <c r="A29" s="56" t="inlineStr">
        <is>
          <t>Biến thể HITL</t>
        </is>
      </c>
      <c r="B29" s="57" t="inlineStr">
        <is>
          <t>A — ví chịu chi phí người xử lý ca escalate. Không phải để tiết kiệm: người duyệt LÀ người của ví theo Brief §7.1 và §7.5, ta không được phép nhận việc đó.</t>
        </is>
      </c>
    </row>
    <row r="30">
      <c r="A30" s="56" t="inlineStr">
        <is>
          <t>Value Metric</t>
        </is>
      </c>
      <c r="B30" s="57" t="inlineStr">
        <is>
          <t>Hybrid — phí nền 130tr ₫/tháng + 1.900 ₫/ca contained + 12.000 ₫/hồ sơ được duyệt ngay lần trình đầu.</t>
        </is>
      </c>
    </row>
    <row r="31">
      <c r="A31" s="56" t="inlineStr">
        <is>
          <t>Kênh 90 ngày đầu</t>
        </is>
      </c>
      <c r="B31" s="57" t="inlineStr">
        <is>
          <t>Sales-Led (named account). Đúng một kênh.</t>
        </is>
      </c>
    </row>
    <row r="32">
      <c r="A32" s="56" t="inlineStr">
        <is>
          <t>NGÀY KIỂM TRA GIÁ API</t>
        </is>
      </c>
      <c r="B32" s="57" t="inlineStr">
        <is>
          <t>27/08/2026 — DeepSeek và Anthropic, tự mở lại trang gốc. Xem 6_Benchmarks C3.</t>
        </is>
      </c>
    </row>
    <row r="34" ht="60" customHeight="1" s="44">
      <c r="A34" s="58" t="inlineStr">
        <is>
          <t>ĐỌC TRƯỚC KHI XEM SỐ</t>
        </is>
      </c>
      <c r="B34" s="57" t="inlineStr">
        <is>
          <t>Các con số trong workbook đứng ở ĐIỂM VẬN HÀNH MỤC TIÊU (tỷ lệ hoàn thành job 68,06%), không phải ở trạng thái hôm nay. Lượt eval có provenance ngày 27/08/2026 đo được tỷ lệ mở đúng hồ sơ là 1,03% (1/97 ca kỳ vọng) trong khi ngưỡng sống của bảng giá là 43,26%; quy ra tỷ lệ hoàn thành job chỉ còn 49,87%, và ở mức đó bội số tụt xuống 2,79× — trượt ngưỡng 3×. Kết luận: CHƯA ĐƯỢC KÝ HỢP ĐỒNG theo bảng giá này. Xem khối mở rộng ở 2_Pricing dòng 56.</t>
        </is>
      </c>
    </row>
  </sheetData>
  <mergeCells count="8">
    <mergeCell ref="B31:E31"/>
    <mergeCell ref="B27:E27"/>
    <mergeCell ref="A26:E26"/>
    <mergeCell ref="B30:E30"/>
    <mergeCell ref="B29:E29"/>
    <mergeCell ref="B34:E34"/>
    <mergeCell ref="B28:E28"/>
    <mergeCell ref="B32:E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1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43" min="1" max="1"/>
    <col width="18" customWidth="1" style="43" min="2" max="3"/>
    <col width="16" customWidth="1" style="44" min="3" max="3"/>
    <col width="62" customWidth="1" style="43" min="4" max="4"/>
    <col width="16" customWidth="1" style="43" min="5" max="8"/>
    <col width="16" customWidth="1" style="44" min="6" max="6"/>
  </cols>
  <sheetData>
    <row r="1" ht="24" customHeight="1" s="44">
      <c r="A1" s="45" t="inlineStr">
        <is>
          <t>TAB 1 — COST/JOB CALCULATOR</t>
        </is>
      </c>
      <c r="B1" s="46" t="n"/>
      <c r="C1" s="46" t="n"/>
      <c r="D1" s="46" t="n"/>
      <c r="E1" s="46" t="n"/>
      <c r="F1" s="46" t="n"/>
      <c r="G1" s="46" t="n"/>
      <c r="H1" s="46" t="n"/>
    </row>
    <row r="2" ht="15" customHeight="1" s="44">
      <c r="A2" s="47" t="inlineStr">
        <is>
          <t>Trạm 1 (S1–S2) và Trạm 3 (S3–S8). Chỉ điền ô vàng.</t>
        </is>
      </c>
    </row>
    <row r="4" ht="15" customHeight="1" s="44">
      <c r="A4" s="59" t="inlineStr">
        <is>
          <t>S1. ĐỊNH NGHĨA JOB</t>
        </is>
      </c>
      <c r="B4" s="60" t="n"/>
      <c r="C4" s="60" t="n"/>
      <c r="D4" s="60" t="n"/>
      <c r="E4" s="60" t="n"/>
      <c r="F4" s="60" t="n"/>
      <c r="G4" s="60" t="n"/>
      <c r="H4" s="60" t="n"/>
    </row>
    <row r="5" ht="15" customHeight="1" s="44">
      <c r="A5" s="50" t="inlineStr">
        <is>
          <t>1 job của bạn là gì?</t>
        </is>
      </c>
      <c r="B5" s="61" t="inlineStr">
        <is>
          <t>Một ca CSKH được WalletCare đưa đến trạng thái kết thúc mà ví KHÔNG phải điều tra lại. Hai đường: (1) Contained — agent tự đóng với khách, khách không mở lại trong 72h email / 2h chat; (2) Hồ sơ — sếp ví ra quyết định cuối NGAY LẦN TRÌNH ĐẦU. Hồ sơ bị trả về, ca lỗi kỹ thuật, ca chuyển người ngay từ đầu: không tính là job, không tính tiền.</t>
        </is>
      </c>
      <c r="D5" s="62" t="inlineStr">
        <is>
          <t>Cả hai đường đều là state transition đếm tự động được trong máy trạng thái ticket của ví (approval_decision_recorded — Day 23) nên không cần khách tự khai.</t>
        </is>
      </c>
    </row>
    <row r="6" ht="15" customHeight="1" s="44">
      <c r="A6" s="50" t="inlineStr">
        <is>
          <t>Biến thể HITL: A hay B?</t>
        </is>
      </c>
      <c r="B6" s="63" t="inlineStr">
        <is>
          <t>A</t>
        </is>
      </c>
      <c r="D6" s="62" t="inlineStr">
        <is>
          <t>A vì HITL của FIN-05 LÀ NGƯỜI CỦA VÍ — CSKH tiếp nhận, sếp duyệt (Brief §7.1, §7.5). Ràng buộc tuân thủ, không phải lựa chọn kiến trúc. Biến thể B được mô phỏng ở khối mở rộng 2_Pricing.</t>
        </is>
      </c>
    </row>
    <row r="8" ht="15" customHeight="1" s="44">
      <c r="A8" s="59" t="inlineStr">
        <is>
          <t>S2. KHỐI LƯỢNG</t>
        </is>
      </c>
      <c r="B8" s="60" t="n"/>
      <c r="C8" s="60" t="n"/>
      <c r="D8" s="60" t="n"/>
      <c r="E8" s="60" t="n"/>
      <c r="F8" s="60" t="n"/>
      <c r="G8" s="60" t="n"/>
      <c r="H8" s="60" t="n"/>
    </row>
    <row r="9" ht="15" customHeight="1" s="44">
      <c r="A9" s="50" t="inlineStr">
        <is>
          <t>Số job THỬ / tháng</t>
        </is>
      </c>
      <c r="B9" s="64" t="n">
        <v>140000</v>
      </c>
      <c r="C9" s="47" t="inlineStr">
        <is>
          <t>job</t>
        </is>
      </c>
      <c r="D9" s="43" t="inlineStr">
        <is>
          <t>5tr MAU × 4% contact rate × 70% trong phạm vi — kế thừa giả định Day 24.</t>
        </is>
      </c>
    </row>
    <row r="10" ht="46" customHeight="1" s="44">
      <c r="A10" s="50" t="inlineStr">
        <is>
          <t>Containment rate (AI tự làm xong)</t>
        </is>
      </c>
      <c r="B10" s="65" t="n">
        <v>0.6806</v>
      </c>
      <c r="D10" s="62" t="inlineStr">
        <is>
          <t>ĐIỂM VẬN HÀNH MỤC TIÊU, chưa đo. = 62% lưu lượng lớp A × containment 80% + 26% lớp B × tỷ lệ hồ sơ duyệt-lần-đầu 71%. ĐO THẬT 27/08/2026: đường hồ sơ chỉ 1/97 = 1,03% (missed_expected_ticket 96/97, file run-2026-08-27-sau-seed-scored.json có provenance) → tỷ lệ hoàn thành thật chỉ 49,87%. Xem khối mở rộng 2_Pricing dòng 56.</t>
        </is>
      </c>
    </row>
    <row r="11" ht="15" customHeight="1" s="44">
      <c r="A11" s="50" t="inlineStr">
        <is>
          <t>→ Số job HOÀN THÀNH / tháng</t>
        </is>
      </c>
      <c r="B11" s="66">
        <f>B9*B10</f>
        <v/>
      </c>
      <c r="C11" s="47" t="inlineStr">
        <is>
          <t>job</t>
        </is>
      </c>
      <c r="D11" s="47" t="inlineStr">
        <is>
          <t>MẪU SỐ của Cost/Job</t>
        </is>
      </c>
    </row>
    <row r="12" ht="15" customHeight="1" s="44">
      <c r="A12" s="50" t="inlineStr">
        <is>
          <t>→ Số job KHÔNG xong / tháng</t>
        </is>
      </c>
      <c r="B12" s="66">
        <f>B9-B11</f>
        <v/>
      </c>
      <c r="C12" s="47" t="inlineStr">
        <is>
          <t>job</t>
        </is>
      </c>
      <c r="D12" s="47" t="inlineStr">
        <is>
          <t>Số ca phải escalate</t>
        </is>
      </c>
    </row>
    <row r="14" ht="15" customHeight="1" s="44">
      <c r="A14" s="59" t="inlineStr">
        <is>
          <t>S3. API — LLM</t>
        </is>
      </c>
      <c r="B14" s="60" t="n"/>
      <c r="C14" s="60" t="n"/>
      <c r="D14" s="60" t="n"/>
      <c r="E14" s="60" t="n"/>
      <c r="F14" s="60" t="n"/>
      <c r="G14" s="60" t="n"/>
      <c r="H14" s="60" t="n"/>
    </row>
    <row r="15" ht="15" customHeight="1" s="44">
      <c r="A15" s="50" t="inlineStr">
        <is>
          <t>Giá input ($ / 1M token)</t>
        </is>
      </c>
      <c r="B15" s="67" t="n">
        <v>0.363</v>
      </c>
      <c r="D15" s="47" t="inlineStr">
        <is>
          <t>deepseek-v4-flash, cache MISS, hoà 65% peak / 35% off-peak. Kiểm tra 27/08/2026.</t>
        </is>
      </c>
    </row>
    <row r="16" ht="15" customHeight="1" s="44">
      <c r="A16" s="50" t="inlineStr">
        <is>
          <t>Giá output ($ / 1M token)</t>
        </is>
      </c>
      <c r="B16" s="67" t="n">
        <v>1.089</v>
      </c>
      <c r="D16" s="43" t="inlineStr">
        <is>
          <t>Output, hoà peak/off-peak.</t>
        </is>
      </c>
    </row>
    <row r="17" ht="15" customHeight="1" s="44">
      <c r="A17" s="50" t="inlineStr">
        <is>
          <t>Giá cache WRITE ($ / 1M token)</t>
        </is>
      </c>
      <c r="B17" s="67" t="n">
        <v>0.363</v>
      </c>
      <c r="D17" s="62" t="inlineStr">
        <is>
          <t>DeepSeek KHÔNG thu phí cache-write riêng: lượt đầu nạp prefix bị tính đúng giá cache miss. Nên ô này bằng ô B15, không phải 1,25× như Anthropic.</t>
        </is>
      </c>
    </row>
    <row r="18" ht="15" customHeight="1" s="44">
      <c r="A18" s="50" t="inlineStr">
        <is>
          <t>Giá cache READ ($ / 1M token)</t>
        </is>
      </c>
      <c r="B18" s="67" t="n">
        <v>0.01155</v>
      </c>
      <c r="D18" s="62" t="inlineStr">
        <is>
          <t>Cache HIT, hoà peak/off-peak. Bằng 3,2% giá cache miss — chiết khấu sâu hơn Anthropic (10%).</t>
        </is>
      </c>
    </row>
    <row r="19" ht="15" customHeight="1" s="44">
      <c r="A19" s="50" t="inlineStr">
        <is>
          <t>Số lượt (turns) / job</t>
        </is>
      </c>
      <c r="B19" s="68" t="n">
        <v>9.48</v>
      </c>
      <c r="C19" s="47" t="inlineStr">
        <is>
          <t>lượt</t>
        </is>
      </c>
      <c r="D19" s="57" t="inlineStr">
        <is>
          <t>Bình quân gia quyền số lượt gọi LLM của 3 lớp ca: A 8 · B 16 · C 3 (AGENT_MAX_STEPS = 8, lấy từ _meta lượt chạy 26–27/08).</t>
        </is>
      </c>
    </row>
    <row r="20" ht="15" customHeight="1" s="44">
      <c r="A20" s="50" t="inlineStr">
        <is>
          <t>Token input CACHE ĐƯỢC / lượt</t>
        </is>
      </c>
      <c r="B20" s="64" t="n">
        <v>6500</v>
      </c>
      <c r="C20" s="47" t="inlineStr">
        <is>
          <t>token</t>
        </is>
      </c>
      <c r="D20" s="47" t="inlineStr">
        <is>
          <t>System prompt lắp động 9 khối + 7 tool schema. Phần ổn định được cache prefix.</t>
        </is>
      </c>
    </row>
    <row r="21" ht="15" customHeight="1" s="44">
      <c r="A21" s="50" t="inlineStr">
        <is>
          <t>Token input FRESH / lượt</t>
        </is>
      </c>
      <c r="B21" s="64" t="n">
        <v>2092</v>
      </c>
      <c r="C21" s="47" t="inlineStr">
        <is>
          <t>token</t>
        </is>
      </c>
      <c r="D21" s="62" t="inlineStr">
        <is>
          <t>Bình quân gia quyền: A 1.800 · B 3.200 (tool result nặng: giao dịch, timeline, lịch sử khách) · C 1.200.</t>
        </is>
      </c>
    </row>
    <row r="22" ht="15" customHeight="1" s="44">
      <c r="A22" s="50" t="inlineStr">
        <is>
          <t>Token output / lượt</t>
        </is>
      </c>
      <c r="B22" s="69" t="n">
        <v>237.6</v>
      </c>
      <c r="C22" s="47" t="inlineStr">
        <is>
          <t>token</t>
        </is>
      </c>
      <c r="D22" s="43" t="inlineStr">
        <is>
          <t>Bình quân gia quyền: A 220 · B 320 · C 150.</t>
        </is>
      </c>
    </row>
    <row r="23" ht="15" customHeight="1" s="44">
      <c r="A23" s="50" t="inlineStr">
        <is>
          <t>→ Cache write / job</t>
        </is>
      </c>
      <c r="B23" s="70">
        <f>B20*B17/1000000</f>
        <v/>
      </c>
    </row>
    <row r="24" ht="15" customHeight="1" s="44">
      <c r="A24" s="50" t="inlineStr">
        <is>
          <t>→ Cache read / job</t>
        </is>
      </c>
      <c r="B24" s="70">
        <f>(B19-1)*B20*B18/1000000</f>
        <v/>
      </c>
    </row>
    <row r="25" ht="15" customHeight="1" s="44">
      <c r="A25" s="50" t="inlineStr">
        <is>
          <t>→ Input fresh / job</t>
        </is>
      </c>
      <c r="B25" s="70">
        <f>B19*B21*B15/1000000</f>
        <v/>
      </c>
    </row>
    <row r="26" ht="15" customHeight="1" s="44">
      <c r="A26" s="50" t="inlineStr">
        <is>
          <t>→ Output / job</t>
        </is>
      </c>
      <c r="B26" s="70">
        <f>B19*B22*B16/1000000</f>
        <v/>
      </c>
    </row>
    <row r="27" ht="15" customHeight="1" s="44">
      <c r="A27" s="54" t="inlineStr">
        <is>
          <t>→ LLM / job — CÓ prompt caching</t>
        </is>
      </c>
      <c r="B27" s="71">
        <f>SUM(B23:B26)</f>
        <v/>
      </c>
    </row>
    <row r="28" ht="15" customHeight="1" s="44">
      <c r="A28" s="50" t="inlineStr">
        <is>
          <t>→ LLM / job — KHÔNG cache</t>
        </is>
      </c>
      <c r="B28" s="70">
        <f>B19*(B20+B21)*B15/1000000+B26</f>
        <v/>
      </c>
    </row>
    <row r="29" ht="15" customHeight="1" s="44">
      <c r="A29" s="50" t="inlineStr">
        <is>
          <t>→ % tiết kiệm nhờ caching</t>
        </is>
      </c>
      <c r="B29" s="72">
        <f>IF(B28=0,0,1-B27/B28)</f>
        <v/>
      </c>
      <c r="D29" s="47" t="inlineStr">
        <is>
          <t>Đòn bẩy rẻ nhất bạn có</t>
        </is>
      </c>
    </row>
    <row r="30" ht="44" customHeight="1" s="44">
      <c r="A30" s="50" t="inlineStr">
        <is>
          <t>Dùng Batch API? (1 = có, 0 = không)</t>
        </is>
      </c>
      <c r="B30" s="64" t="n">
        <v>0</v>
      </c>
      <c r="D30" s="62" t="inlineStr">
        <is>
          <t>KHÔNG dùng Batch. Lớp A và C có khách đang chờ ở đầu bên kia (p50 6,17 giây). Có một nhánh dùng được — hồ sơ chạm ngân hàng, SLA tra soát tính bằng ngày — nhưng đưa vào mô hình cơ sở là tự thưởng cho mình khoản tiết kiệm chưa xây.</t>
        </is>
      </c>
    </row>
    <row r="31" ht="15" customHeight="1" s="44">
      <c r="A31" s="54" t="inlineStr">
        <is>
          <t>→ LLM / job sau Batch</t>
        </is>
      </c>
      <c r="B31" s="71">
        <f>B27*(1-B30*0.5)</f>
        <v/>
      </c>
    </row>
    <row r="33" ht="15" customHeight="1" s="44">
      <c r="A33" s="59" t="inlineStr">
        <is>
          <t>S4. API — SPEECH (để 0 nếu sản phẩm không có thoại)</t>
        </is>
      </c>
      <c r="B33" s="60" t="n"/>
      <c r="C33" s="60" t="n"/>
      <c r="D33" s="60" t="n"/>
      <c r="E33" s="60" t="n"/>
      <c r="F33" s="60" t="n"/>
      <c r="G33" s="60" t="n"/>
      <c r="H33" s="60" t="n"/>
    </row>
    <row r="34" ht="15" customHeight="1" s="44">
      <c r="A34" s="50" t="inlineStr">
        <is>
          <t>Giá STT ($ / phút)</t>
        </is>
      </c>
      <c r="B34" s="73" t="n">
        <v>0</v>
      </c>
      <c r="D34" s="62" t="inlineStr">
        <is>
          <t>Bằng 0 CÓ LÝ DO: WalletCare v1 chỉ có kênh chat trong app ví — Brief §6 ghi rõ 'chỉ web, tiếng Việt'. Kênh thoại ngoài phạm vi.</t>
        </is>
      </c>
    </row>
    <row r="35" ht="15" customHeight="1" s="44">
      <c r="A35" s="50" t="inlineStr">
        <is>
          <t>Số phút audio / job</t>
        </is>
      </c>
      <c r="B35" s="74" t="n">
        <v>0</v>
      </c>
      <c r="C35" s="47" t="inlineStr">
        <is>
          <t>phút</t>
        </is>
      </c>
    </row>
    <row r="36" ht="15" customHeight="1" s="44">
      <c r="A36" s="50" t="inlineStr">
        <is>
          <t>Giá TTS ($ / 1M ký tự)</t>
        </is>
      </c>
      <c r="B36" s="75" t="n">
        <v>0</v>
      </c>
      <c r="D36" s="47" t="inlineStr">
        <is>
          <t>ElevenLabs Flash $50 · Google Standard $4</t>
        </is>
      </c>
    </row>
    <row r="37" ht="15" customHeight="1" s="44">
      <c r="A37" s="50" t="inlineStr">
        <is>
          <t>Số ký tự TTS / job</t>
        </is>
      </c>
      <c r="B37" s="64" t="n">
        <v>0</v>
      </c>
      <c r="C37" s="47" t="inlineStr">
        <is>
          <t>ký tự</t>
        </is>
      </c>
      <c r="D37" s="47" t="inlineStr">
        <is>
          <t>≈ 900 ký tự cho mỗi phút bot nói</t>
        </is>
      </c>
    </row>
    <row r="38" ht="15" customHeight="1" s="44">
      <c r="A38" s="50" t="inlineStr">
        <is>
          <t>→ Speech / job</t>
        </is>
      </c>
      <c r="B38" s="70">
        <f>B34*B35+B36*B37/1000000</f>
        <v/>
      </c>
    </row>
    <row r="40" ht="15" customHeight="1" s="44">
      <c r="A40" s="59" t="inlineStr">
        <is>
          <t>S5. INFRA</t>
        </is>
      </c>
      <c r="B40" s="60" t="n"/>
      <c r="C40" s="60" t="n"/>
      <c r="D40" s="60" t="n"/>
      <c r="E40" s="60" t="n"/>
      <c r="F40" s="60" t="n"/>
      <c r="G40" s="60" t="n"/>
      <c r="H40" s="60" t="n"/>
    </row>
    <row r="41" ht="58" customHeight="1" s="44">
      <c r="A41" s="50" t="inlineStr">
        <is>
          <t>Infra / job ($)</t>
        </is>
      </c>
      <c r="B41" s="76" t="n">
        <v>0.008506285714285714</v>
      </c>
      <c r="D41" s="62" t="inlineStr">
        <is>
          <t>0,003500 hạ tầng (app compute · Postgres + checkpoint LangGraph + trace spans · pgvector và embedding · object storage và log giữ 90 ngày · observability) + 0,005006 chi phí phục vụ khách khác phân bổ theo ca (chạy lại eval 23 $ · CSM 0,4 FTE 461,54 $ · compliance 120,19 $ · bảo trì prompt/skill/guard 96,15 $ = 700,88 $/tháng ÷ 140.000 ca). Template không có ô riêng cho nhóm sau nên gộp vào đây; chi tiết ở khối mở rộng dòng 82.</t>
        </is>
      </c>
    </row>
    <row r="42" ht="15" customHeight="1" s="44">
      <c r="A42" s="50" t="inlineStr">
        <is>
          <t>Telephony ($ / phút)</t>
        </is>
      </c>
      <c r="B42" s="73" t="n">
        <v>0</v>
      </c>
      <c r="D42" s="43" t="inlineStr">
        <is>
          <t>Không có telephony — không có kênh thoại.</t>
        </is>
      </c>
    </row>
    <row r="43" ht="15" customHeight="1" s="44">
      <c r="A43" s="50" t="inlineStr">
        <is>
          <t>→ Infra / job</t>
        </is>
      </c>
      <c r="B43" s="70">
        <f>B41+B42*B35</f>
        <v/>
      </c>
    </row>
    <row r="45" ht="15" customHeight="1" s="44">
      <c r="A45" s="59" t="inlineStr">
        <is>
          <t>S6. RETRY</t>
        </is>
      </c>
      <c r="B45" s="60" t="n"/>
      <c r="C45" s="60" t="n"/>
      <c r="D45" s="60" t="n"/>
      <c r="E45" s="60" t="n"/>
      <c r="F45" s="60" t="n"/>
      <c r="G45" s="60" t="n"/>
      <c r="H45" s="60" t="n"/>
    </row>
    <row r="46" ht="15" customHeight="1" s="44">
      <c r="A46" s="50" t="inlineStr">
        <is>
          <t>Tỷ lệ job phải chạy lại</t>
        </is>
      </c>
      <c r="B46" s="77" t="n">
        <v>0.07000000000000001</v>
      </c>
      <c r="D46" s="62" t="inlineStr">
        <is>
          <t>ƯỚC TÍNH. Eval 15/08 chạy 118/118 ca không lỗi HTTP nhưng ở tải demo, không phải tải sản xuất. Để 0% là sai.</t>
        </is>
      </c>
    </row>
    <row r="47" ht="15" customHeight="1" s="44">
      <c r="A47" s="50" t="inlineStr">
        <is>
          <t>→ Retry / job</t>
        </is>
      </c>
      <c r="B47" s="70">
        <f>(B31+B38)*B46</f>
        <v/>
      </c>
    </row>
    <row r="49" ht="15" customHeight="1" s="44">
      <c r="A49" s="59" t="inlineStr">
        <is>
          <t>S7. HITL — người trong vòng lặp</t>
        </is>
      </c>
      <c r="B49" s="60" t="n"/>
      <c r="C49" s="60" t="n"/>
      <c r="D49" s="60" t="n"/>
      <c r="E49" s="60" t="n"/>
      <c r="F49" s="60" t="n"/>
      <c r="G49" s="60" t="n"/>
      <c r="H49" s="60" t="n"/>
    </row>
    <row r="50" ht="15" customHeight="1" s="44">
      <c r="A50" s="50" t="inlineStr">
        <is>
          <t>Chi phí nhân sự ($ / giờ, fully-loaded)</t>
        </is>
      </c>
      <c r="B50" s="78" t="n">
        <v>3.3</v>
      </c>
      <c r="D50" s="62" t="inlineStr">
        <is>
          <t>15tr ₫/tháng fully-loaded ÷ 176 giờ ≈ 85.000 ₫/giờ. KHÔNG dùng 9 $/giờ của ví dụ mẫu — đó là giá offshore chung, không phải giá Việt Nam.</t>
        </is>
      </c>
    </row>
    <row r="51" ht="15" customHeight="1" s="44">
      <c r="A51" s="50" t="inlineStr">
        <is>
          <t>% hội thoại QA nội bộ</t>
        </is>
      </c>
      <c r="B51" s="77" t="n">
        <v>0.1</v>
      </c>
      <c r="D51" s="62" t="inlineStr">
        <is>
          <t>Rà soát chăn đều ở giai đoạn pilot — sản phẩm nói về TIỀN của khách. Tương đương 4,64 FTE cho MỘT hợp đồng; đây là biến chặn scale.</t>
        </is>
      </c>
    </row>
    <row r="52" ht="15" customHeight="1" s="44">
      <c r="A52" s="50" t="inlineStr">
        <is>
          <t>Số phút QA / ca</t>
        </is>
      </c>
      <c r="B52" s="69" t="n">
        <v>3.5</v>
      </c>
      <c r="C52" s="47" t="inlineStr">
        <is>
          <t>phút</t>
        </is>
      </c>
    </row>
    <row r="53" ht="15" customHeight="1" s="44">
      <c r="A53" s="50" t="inlineStr">
        <is>
          <t>Số phút xử lý 1 ca escalate</t>
        </is>
      </c>
      <c r="B53" s="64" t="n">
        <v>12</v>
      </c>
      <c r="C53" s="47" t="inlineStr">
        <is>
          <t>phút</t>
        </is>
      </c>
      <c r="D53" s="43" t="inlineStr">
        <is>
          <t>Chỉ có tác dụng khi B6 = 'B'. Giữ số thật để khối mở rộng mô phỏng Biến thể B.</t>
        </is>
      </c>
    </row>
    <row r="54" ht="15" customHeight="1" s="44">
      <c r="A54" s="50" t="inlineStr">
        <is>
          <t>→ QA nội bộ / tháng</t>
        </is>
      </c>
      <c r="B54" s="79">
        <f>B9*B51*(B52/60)*B50</f>
        <v/>
      </c>
    </row>
    <row r="55" ht="15" customHeight="1" s="44">
      <c r="A55" s="50" t="inlineStr">
        <is>
          <t>→ Escalation / tháng (chỉ Biến thể B)</t>
        </is>
      </c>
      <c r="B55" s="79">
        <f>IF(B6="B",B12*(B53/60)*B50,0)</f>
        <v/>
      </c>
      <c r="D55" s="47" t="inlineStr">
        <is>
          <t>Biến thể A → 0 vì khách tự chịu</t>
        </is>
      </c>
    </row>
    <row r="56" ht="15" customHeight="1" s="44">
      <c r="A56" s="54" t="inlineStr">
        <is>
          <t>→ Tổng HITL / tháng</t>
        </is>
      </c>
      <c r="B56" s="80">
        <f>B54+B55</f>
        <v/>
      </c>
    </row>
    <row r="58" ht="15" customHeight="1" s="44">
      <c r="A58" s="59" t="inlineStr">
        <is>
          <t>S8. OVERHEAD (tuỳ chọn)</t>
        </is>
      </c>
      <c r="B58" s="60" t="n"/>
      <c r="C58" s="60" t="n"/>
      <c r="D58" s="60" t="n"/>
      <c r="E58" s="60" t="n"/>
      <c r="F58" s="60" t="n"/>
      <c r="G58" s="60" t="n"/>
      <c r="H58" s="60" t="n"/>
    </row>
    <row r="59" ht="15" customHeight="1" s="44">
      <c r="A59" s="50" t="inlineStr">
        <is>
          <t>R&amp;D + Sales phân bổ / tháng ($)</t>
        </is>
      </c>
      <c r="B59" s="78" t="n">
        <v>1875</v>
      </c>
      <c r="D59" s="62" t="inlineStr">
        <is>
          <t>R&amp;D 5.000 $ (2 engineer + 1 PM) + S&amp;M 1.730,77 $ + G&amp;A 769,23 $ = 7.500 $/tháng, chia cho 4 hợp đồng ví giả định đang chạy. Hôm nay con số thật là 0 hợp đồng.</t>
        </is>
      </c>
    </row>
    <row r="61" ht="15" customHeight="1" s="44">
      <c r="A61" s="59" t="inlineStr">
        <is>
          <t>KẾT QUẢ</t>
        </is>
      </c>
      <c r="B61" s="60" t="n"/>
      <c r="C61" s="60" t="n"/>
      <c r="D61" s="60" t="n"/>
      <c r="E61" s="60" t="n"/>
      <c r="F61" s="60" t="n"/>
      <c r="G61" s="60" t="n"/>
      <c r="H61" s="60" t="n"/>
    </row>
    <row r="62" ht="15" customHeight="1" s="44">
      <c r="A62" s="50" t="inlineStr">
        <is>
          <t>Chi phí biến đổi / tháng (API + Speech + Infra + Retry)</t>
        </is>
      </c>
      <c r="B62" s="79">
        <f>B9*(B31+B38+B43+B47)</f>
        <v/>
      </c>
    </row>
    <row r="63" ht="15" customHeight="1" s="44">
      <c r="A63" s="50" t="inlineStr">
        <is>
          <t>HITL / tháng</t>
        </is>
      </c>
      <c r="B63" s="79">
        <f>B56</f>
        <v/>
      </c>
    </row>
    <row r="64" ht="15" customHeight="1" s="44">
      <c r="A64" s="50" t="inlineStr">
        <is>
          <t>Overhead / tháng</t>
        </is>
      </c>
      <c r="B64" s="79">
        <f>B59</f>
        <v/>
      </c>
    </row>
    <row r="65" ht="15" customHeight="1" s="44">
      <c r="A65" s="50" t="inlineStr">
        <is>
          <t>TỔNG CHI PHÍ / tháng</t>
        </is>
      </c>
      <c r="B65" s="79">
        <f>B62+B63+B64</f>
        <v/>
      </c>
    </row>
    <row r="66" ht="15" customHeight="1" s="44">
      <c r="A66" s="54" t="inlineStr">
        <is>
          <t>★ COST/JOB (chưa overhead)</t>
        </is>
      </c>
      <c r="B66" s="71">
        <f>IF(B11=0,0,(B62+B63)/B11)</f>
        <v/>
      </c>
      <c r="C66" s="47" t="inlineStr">
        <is>
          <t>$/job</t>
        </is>
      </c>
      <c r="D66" s="47" t="inlineStr">
        <is>
          <t>Con số chảy sang tab 2_Pricing</t>
        </is>
      </c>
    </row>
    <row r="67" ht="15" customHeight="1" s="44">
      <c r="A67" s="54" t="inlineStr">
        <is>
          <t>★ COST/JOB (có overhead)</t>
        </is>
      </c>
      <c r="B67" s="71">
        <f>IF(B11=0,0,B65/B11)</f>
        <v/>
      </c>
      <c r="C67" s="47" t="inlineStr">
        <is>
          <t>$/job</t>
        </is>
      </c>
    </row>
    <row r="68" ht="15" customHeight="1" s="44">
      <c r="A68" s="50" t="inlineStr">
        <is>
          <t>Tỷ giá (₫ / USD) — giả định</t>
        </is>
      </c>
      <c r="B68" s="64" t="n">
        <v>26000</v>
      </c>
      <c r="C68" s="47" t="inlineStr">
        <is>
          <t>₫/USD</t>
        </is>
      </c>
      <c r="D68" s="47" t="inlineStr">
        <is>
          <t>Giả định của bài, ngày 27/08/2026.</t>
        </is>
      </c>
    </row>
    <row r="69" ht="15" customHeight="1" s="44">
      <c r="A69" s="50" t="inlineStr">
        <is>
          <t>→ Cost/Job quy đổi</t>
        </is>
      </c>
      <c r="B69" s="81">
        <f>B66*B68</f>
        <v/>
      </c>
      <c r="C69" s="47" t="inlineStr">
        <is>
          <t>₫/job</t>
        </is>
      </c>
    </row>
    <row r="71" ht="15" customHeight="1" s="44">
      <c r="A71" s="59" t="inlineStr">
        <is>
          <t>THÀNH PHẦN NÀO ĂN NHIỀU NHẤT? (kiểm tra nhanh)</t>
        </is>
      </c>
      <c r="B71" s="60" t="n"/>
      <c r="C71" s="60" t="n"/>
      <c r="D71" s="60" t="n"/>
      <c r="E71" s="60" t="n"/>
      <c r="F71" s="60" t="n"/>
      <c r="G71" s="60" t="n"/>
      <c r="H71" s="60" t="n"/>
    </row>
    <row r="72" ht="15" customHeight="1" s="44">
      <c r="A72" s="50" t="inlineStr">
        <is>
          <t>LLM</t>
        </is>
      </c>
      <c r="B72" s="79">
        <f>B9*B31</f>
        <v/>
      </c>
      <c r="C72" s="72">
        <f>IF($B$65=0,0,B72/$B$65)</f>
        <v/>
      </c>
    </row>
    <row r="73" ht="15" customHeight="1" s="44">
      <c r="A73" s="50" t="inlineStr">
        <is>
          <t>Speech</t>
        </is>
      </c>
      <c r="B73" s="79">
        <f>B9*B38</f>
        <v/>
      </c>
      <c r="C73" s="72">
        <f>IF($B$65=0,0,B73/$B$65)</f>
        <v/>
      </c>
    </row>
    <row r="74" ht="15" customHeight="1" s="44">
      <c r="A74" s="50" t="inlineStr">
        <is>
          <t>Infra</t>
        </is>
      </c>
      <c r="B74" s="79">
        <f>B9*B43</f>
        <v/>
      </c>
      <c r="C74" s="72">
        <f>IF($B$65=0,0,B74/$B$65)</f>
        <v/>
      </c>
    </row>
    <row r="75" ht="15" customHeight="1" s="44">
      <c r="A75" s="50" t="inlineStr">
        <is>
          <t>Retry</t>
        </is>
      </c>
      <c r="B75" s="79">
        <f>B9*B47</f>
        <v/>
      </c>
      <c r="C75" s="72">
        <f>IF($B$65=0,0,B75/$B$65)</f>
        <v/>
      </c>
    </row>
    <row r="76" ht="15" customHeight="1" s="44">
      <c r="A76" s="50" t="inlineStr">
        <is>
          <t>HITL</t>
        </is>
      </c>
      <c r="B76" s="79">
        <f>B56</f>
        <v/>
      </c>
      <c r="C76" s="72">
        <f>IF($B$65=0,0,B76/$B$65)</f>
        <v/>
      </c>
    </row>
    <row r="77" ht="15" customHeight="1" s="44">
      <c r="A77" s="50" t="inlineStr">
        <is>
          <t>Overhead</t>
        </is>
      </c>
      <c r="B77" s="79">
        <f>B59</f>
        <v/>
      </c>
      <c r="C77" s="72">
        <f>IF($B$65=0,0,B77/$B$65)</f>
        <v/>
      </c>
    </row>
    <row r="78" ht="15" customHeight="1" s="44">
      <c r="A78" s="47" t="inlineStr">
        <is>
          <t>Nếu LLM chiếm &gt;80% thì gần như chắc chắn bạn đang thiếu chi phí ở S5–S7.</t>
        </is>
      </c>
    </row>
    <row r="80">
      <c r="A80" s="55" t="inlineStr">
        <is>
          <t>KHỐI MỞ RỘNG — học viên thêm. Những thứ template không có ô nhưng mô hình này cần.</t>
        </is>
      </c>
    </row>
    <row r="81">
      <c r="A81" s="55" t="inlineStr">
        <is>
          <t>① CHI PHÍ LLM THEO TỪNG LỚP CA — vì sao con số bình quân ở S3 hụt 9,2%</t>
        </is>
      </c>
    </row>
    <row r="82">
      <c r="A82" s="56" t="inlineStr">
        <is>
          <t>Lớp ca</t>
        </is>
      </c>
      <c r="B82" s="55" t="inlineStr">
        <is>
          <t>Số lượt gọi</t>
        </is>
      </c>
      <c r="C82" s="55" t="inlineStr">
        <is>
          <t>Token fresh/lượt</t>
        </is>
      </c>
      <c r="D82" s="55" t="inlineStr">
        <is>
          <t>Token out/lượt</t>
        </is>
      </c>
      <c r="E82" s="55" t="inlineStr">
        <is>
          <t>Tỷ trọng lưu lượng</t>
        </is>
      </c>
      <c r="F82" s="55" t="inlineStr">
        <is>
          <t>$ / ca</t>
        </is>
      </c>
    </row>
    <row r="83">
      <c r="A83" s="43" t="inlineStr">
        <is>
          <t>A — tra cứu / hỗ trợ tự phục vụ</t>
        </is>
      </c>
      <c r="B83" s="82" t="n">
        <v>8</v>
      </c>
      <c r="C83" s="82" t="n">
        <v>1800</v>
      </c>
      <c r="D83" s="82" t="n">
        <v>220</v>
      </c>
      <c r="E83" s="83" t="n">
        <v>0.62</v>
      </c>
      <c r="F83" s="84" t="n">
        <v>0.0100289</v>
      </c>
    </row>
    <row r="84">
      <c r="A84" s="43" t="inlineStr">
        <is>
          <t>B — khiếu nại giao dịch (điều tra đa bước)</t>
        </is>
      </c>
      <c r="B84" s="82" t="n">
        <v>16</v>
      </c>
      <c r="C84" s="82" t="n">
        <v>3200</v>
      </c>
      <c r="D84" s="82" t="n">
        <v>320</v>
      </c>
      <c r="E84" s="83" t="n">
        <v>0.26</v>
      </c>
      <c r="F84" s="84" t="n">
        <v>0.0276469</v>
      </c>
    </row>
    <row r="85">
      <c r="A85" s="43" t="inlineStr">
        <is>
          <t>C — ngoài phạm vi, chuyển người ngay</t>
        </is>
      </c>
      <c r="B85" s="82" t="n">
        <v>3</v>
      </c>
      <c r="C85" s="82" t="n">
        <v>1200</v>
      </c>
      <c r="D85" s="82" t="n">
        <v>150</v>
      </c>
      <c r="E85" s="83" t="n">
        <v>0.12</v>
      </c>
      <c r="F85" s="84" t="n">
        <v>0.0043065</v>
      </c>
    </row>
    <row r="86">
      <c r="A86" s="56" t="inlineStr">
        <is>
          <t>Tổng LLM/tháng — tính riêng từng lớp</t>
        </is>
      </c>
      <c r="B86" s="85" t="n">
        <v>1949.2</v>
      </c>
      <c r="D86" s="86" t="inlineStr">
        <is>
          <t>Con số ĐÚNG.</t>
        </is>
      </c>
    </row>
    <row r="87">
      <c r="A87" s="43" t="inlineStr">
        <is>
          <t>Tổng LLM/tháng — theo ô S3 bình quân</t>
        </is>
      </c>
      <c r="B87" s="87" t="n">
        <v>1770.74</v>
      </c>
      <c r="D87" s="86" t="inlineStr">
        <is>
          <t>Con số template tính ra.</t>
        </is>
      </c>
    </row>
    <row r="88">
      <c r="A88" s="43" t="inlineStr">
        <is>
          <t>Chênh lệch</t>
        </is>
      </c>
      <c r="B88" s="88" t="n">
        <v>0.0916</v>
      </c>
      <c r="D88" s="86" t="inlineStr">
        <is>
          <t>Hàm chi phí LỒI theo (số lượt × token): bình quân của tích không bằng tích của bình quân. Lớp B nặng gấp 2,8 lần lớp A nên bị bình quân làm phẳng. Mô hình dùng con số template cho nhất quán với công thức gốc, và ghi lại khoảng lệch ở đây thay vì giấu. Nếu tính đúng từng lớp, Cost/Job lên 0,062543 $ và bội số còn 3,69× — vẫn qua ngưỡng.</t>
        </is>
      </c>
    </row>
    <row r="90">
      <c r="A90" s="55" t="inlineStr">
        <is>
          <t>② RỦI RO GIÁ RIÊNG CỦA NHÀ CUNG CẤP ĐANG DÙNG</t>
        </is>
      </c>
    </row>
    <row r="91">
      <c r="A91" s="56" t="inlineStr">
        <is>
          <t>Peak / off-peak</t>
        </is>
      </c>
      <c r="B91" s="57" t="inlineStr">
        <is>
          <t>DeepSeek tính giá GẤP ĐÔI trong khung peak 01–04h và 06–10h UTC, thứ Hai đến thứ Sáu. Quy ra giờ Việt Nam là 08–11h và 13–17h — trùng gần khít giờ hành chính, tức trùng đúng chỗ toàn bộ lưu lượng CSKH nằm. Mô hình dùng tỷ lệ 65% peak. Nếu 100% lưu lượng rơi vào peak, chi phí LLM tăng 21,2% và bội số còn 3,55× — vẫn qua. Rủi ro này nhỏ hơn nhiều so với rủi ro đổi nhà cung cấp ở khối ③.</t>
        </is>
      </c>
    </row>
    <row r="92">
      <c r="A92" s="56" t="inlineStr">
        <is>
          <t>Vì sao không dùng model tuyến đầu</t>
        </is>
      </c>
      <c r="B92" s="57" t="inlineStr">
        <is>
          <t>Cùng khối lượng token này, Claude Haiku 4.5 đắt gấp khoảng 3,5 lần deepseek-v4-flash. Bội số rơi từ 3,81× xuống dưới 2,1×. Chọn model KHÔNG phải chi tiết kỹ thuật ở mô hình này — nó là biến sống còn.</t>
        </is>
      </c>
    </row>
    <row r="94">
      <c r="A94" s="55" t="inlineStr">
        <is>
          <t>③ CHI PHÍ PHỤC VỤ KHÁCH KHÁC — đang gộp trong ô B41, tách ra ở đây</t>
        </is>
      </c>
    </row>
    <row r="95">
      <c r="A95" s="43" t="inlineStr">
        <is>
          <t xml:space="preserve">   Chạy lại bộ eval 118 ca + judge, 4 lượt/tháng</t>
        </is>
      </c>
      <c r="B95" s="87" t="n">
        <v>23</v>
      </c>
      <c r="D95" s="86" t="inlineStr">
        <is>
          <t>Judge tốn ~220k token cho 118 ca. Không chạy eval thì không có Attribution; không có Attribution thì không được bán.</t>
        </is>
      </c>
    </row>
    <row r="96">
      <c r="A96" s="43" t="inlineStr">
        <is>
          <t xml:space="preserve">   CSM / solutions 0,4 FTE cho hợp đồng này</t>
        </is>
      </c>
      <c r="B96" s="87" t="n">
        <v>461.54</v>
      </c>
      <c r="D96" s="86" t="inlineStr">
        <is>
          <t>30tr ₫/tháng × 0,4. Support khách là COGS, không phải overhead.</t>
        </is>
      </c>
    </row>
    <row r="97">
      <c r="A97" s="43" t="inlineStr">
        <is>
          <t xml:space="preserve">   Compliance và kiểm định phân bổ</t>
        </is>
      </c>
      <c r="B97" s="87" t="n">
        <v>120.19</v>
      </c>
      <c r="D97" s="86" t="inlineStr">
        <is>
          <t>300tr ₫ ÷ 24 tháng ÷ 4 hợp đồng.</t>
        </is>
      </c>
    </row>
    <row r="98">
      <c r="A98" s="43" t="inlineStr">
        <is>
          <t xml:space="preserve">   Bảo trì prompt / skill / guard</t>
        </is>
      </c>
      <c r="B98" s="87" t="n">
        <v>96.15000000000001</v>
      </c>
      <c r="D98" s="86" t="inlineStr">
        <is>
          <t>20% chi phí build mỗi năm ÷ 4 hợp đồng. WalletCare không fine-tune nên không có dòng retraining riêng — thêm nữa là đếm hai lần.</t>
        </is>
      </c>
    </row>
    <row r="99">
      <c r="A99" s="56" t="inlineStr">
        <is>
          <t>Cộng</t>
        </is>
      </c>
      <c r="B99" s="85" t="n">
        <v>700.88</v>
      </c>
      <c r="D99" s="86" t="inlineStr">
        <is>
          <t>Tương đương 0,005006 $/ca, đã cộng vào B41.</t>
        </is>
      </c>
    </row>
    <row r="101">
      <c r="A101" s="56" t="inlineStr">
        <is>
          <t>Đọc cơ cấu chi phí trước khi tối ưu bất cứ thứ gì</t>
        </is>
      </c>
      <c r="B101" s="57" t="inlineStr">
        <is>
          <t>Ở bảng dòng 72–77: LLM chiếm khoảng 32%, còn LAO ĐỘNG NGƯỜI (QA nội bộ 2.695 $ + CSM 461,54 $) chiếm khoảng 55% chi phí không kể overhead. Cắt token không cứu được mô hình này; cắt giờ người mới cứu. Và đây cũng là con số ít bằng chứng nhất — mới suy ra từ giai đoạn demo, chưa từng đo ở tải 140.000 ca/tháng.</t>
        </is>
      </c>
    </row>
  </sheetData>
  <mergeCells count="7">
    <mergeCell ref="A81:E81"/>
    <mergeCell ref="B91:E91"/>
    <mergeCell ref="B92:E92"/>
    <mergeCell ref="A90:E90"/>
    <mergeCell ref="A94:E94"/>
    <mergeCell ref="A80:E80"/>
    <mergeCell ref="B101:E101"/>
  </mergeCells>
  <dataValidations count="1">
    <dataValidation sqref="B6" showDropDown="0" showInputMessage="0" showErrorMessage="0" allowBlank="0" type="list" errorStyle="stop" operator="between">
      <formula1>"A,B"</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9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43" min="1" max="1"/>
    <col width="18" customWidth="1" style="43" min="2" max="3"/>
    <col width="12" customWidth="1" style="44" min="3" max="3"/>
    <col width="66" customWidth="1" style="43" min="4" max="4"/>
    <col width="20" customWidth="1" style="43" min="5" max="8"/>
  </cols>
  <sheetData>
    <row r="1" ht="24" customHeight="1" s="44">
      <c r="A1" s="45" t="inlineStr">
        <is>
          <t>TAB 2 — PRICING SANITY CHECK</t>
        </is>
      </c>
      <c r="B1" s="46" t="n"/>
      <c r="C1" s="46" t="n"/>
      <c r="D1" s="46" t="n"/>
      <c r="E1" s="46" t="n"/>
      <c r="F1" s="46" t="n"/>
      <c r="G1" s="46" t="n"/>
      <c r="H1" s="46" t="n"/>
    </row>
    <row r="2" ht="15" customHeight="1" s="44">
      <c r="A2" s="47" t="inlineStr">
        <is>
          <t>Trạm 3. Cost/Job tự lấy từ tab 1. Bạn điền giá bán và các con số neo giá.</t>
        </is>
      </c>
    </row>
    <row r="4" ht="15" customHeight="1" s="44">
      <c r="A4" s="59" t="inlineStr">
        <is>
          <t>GIÁ SÀN</t>
        </is>
      </c>
      <c r="B4" s="60" t="n"/>
      <c r="C4" s="60" t="n"/>
      <c r="D4" s="60" t="n"/>
      <c r="E4" s="60" t="n"/>
      <c r="F4" s="60" t="n"/>
      <c r="G4" s="60" t="n"/>
      <c r="H4" s="60" t="n"/>
    </row>
    <row r="5" ht="15" customHeight="1" s="44">
      <c r="A5" s="50" t="inlineStr">
        <is>
          <t>Cost/Job (từ tab 1_Cost_Job)</t>
        </is>
      </c>
      <c r="B5" s="89">
        <f>1_Cost_Job!B66</f>
        <v/>
      </c>
      <c r="C5" s="47" t="inlineStr">
        <is>
          <t>$/job</t>
        </is>
      </c>
    </row>
    <row r="6" ht="15" customHeight="1" s="44">
      <c r="A6" s="50" t="inlineStr">
        <is>
          <t>Hệ số an toàn tối thiểu</t>
        </is>
      </c>
      <c r="B6" s="64" t="n">
        <v>3</v>
      </c>
      <c r="C6" s="47" t="inlineStr">
        <is>
          <t>×</t>
        </is>
      </c>
      <c r="D6" s="47" t="inlineStr">
        <is>
          <t>Chuẩn Day 28: giá bán ≥ 3 × Cost/Job</t>
        </is>
      </c>
    </row>
    <row r="7" ht="15" customHeight="1" s="44">
      <c r="A7" s="54" t="inlineStr">
        <is>
          <t>→ GIÁ SÀN</t>
        </is>
      </c>
      <c r="B7" s="71">
        <f>B5*B6</f>
        <v/>
      </c>
      <c r="C7" s="47" t="inlineStr">
        <is>
          <t>$/job</t>
        </is>
      </c>
    </row>
    <row r="9" ht="15" customHeight="1" s="44">
      <c r="A9" s="59" t="inlineStr">
        <is>
          <t>GIÁ TRẦN — NEO THEO THỨ KHÁCH ĐANG CHI</t>
        </is>
      </c>
      <c r="B9" s="60" t="n"/>
      <c r="C9" s="60" t="n"/>
      <c r="D9" s="60" t="n"/>
      <c r="E9" s="60" t="n"/>
      <c r="F9" s="60" t="n"/>
      <c r="G9" s="60" t="n"/>
      <c r="H9" s="60" t="n"/>
    </row>
    <row r="10" ht="15" customHeight="1" s="44">
      <c r="A10" s="50" t="inlineStr">
        <is>
          <t>Giá trị khách tiết kiệm được / tháng ($)</t>
        </is>
      </c>
      <c r="B10" s="78" t="n">
        <v>124935.3146853147</v>
      </c>
      <c r="D10" s="62" t="inlineStr">
        <is>
          <t>Lấy 95.284 job hoàn thành × 1,3112 $ chi phí NGƯỜI cho một ticket (15tr ₫/tháng ÷ 440 ticket ÷ 26.000). Đây là con số ví TỰ KIỂM CHỨNG được từ bảng lương của chính họ.</t>
        </is>
      </c>
    </row>
    <row r="11" ht="15" customHeight="1" s="44">
      <c r="A11" s="50" t="inlineStr">
        <is>
          <t>Số job / tháng của 1 khách</t>
        </is>
      </c>
      <c r="B11" s="64" t="n">
        <v>95284</v>
      </c>
      <c r="C11" s="47" t="inlineStr">
        <is>
          <t>job</t>
        </is>
      </c>
      <c r="D11" s="57" t="inlineStr">
        <is>
          <t>Số job HOÀN THÀNH của một hợp đồng ví hạng trung, lấy từ 1_Cost_Job B11.</t>
        </is>
      </c>
    </row>
    <row r="12" ht="15" customHeight="1" s="44">
      <c r="A12" s="50" t="inlineStr">
        <is>
          <t>→ Trần theo giá trị — mức 10%</t>
        </is>
      </c>
      <c r="B12" s="70">
        <f>IF(B11=0,0,B10*0.1/B11)</f>
        <v/>
      </c>
      <c r="C12" s="47" t="inlineStr">
        <is>
          <t>$/job</t>
        </is>
      </c>
    </row>
    <row r="13" ht="15" customHeight="1" s="44">
      <c r="A13" s="50" t="inlineStr">
        <is>
          <t>→ Trần theo giá trị — mức 25%</t>
        </is>
      </c>
      <c r="B13" s="70">
        <f>IF(B11=0,0,B10*0.25/B11)</f>
        <v/>
      </c>
      <c r="C13" s="47" t="inlineStr">
        <is>
          <t>$/job</t>
        </is>
      </c>
    </row>
    <row r="14" ht="40" customHeight="1" s="44">
      <c r="A14" s="50" t="inlineStr">
        <is>
          <t>Lương / tháng của vị trí bị thay ($)</t>
        </is>
      </c>
      <c r="B14" s="78" t="n">
        <v>124935.3146853147</v>
      </c>
      <c r="D14" s="62" t="inlineStr">
        <is>
          <t>Tổng chi phí nhân sự cho khối lượng việc này, không phải lương một người: 95.284 ticket ÷ 440 ticket mỗi CSKH ≈ 217 CSKH × 576,92 $. Bằng đúng ô B10 — vì giá trị khách tiết kiệm CHÍNH LÀ chi phí nhân công đó.</t>
        </is>
      </c>
    </row>
    <row r="15" ht="15" customHeight="1" s="44">
      <c r="A15" s="50" t="inlineStr">
        <is>
          <t>→ Trần theo nhân công — mức 50%</t>
        </is>
      </c>
      <c r="B15" s="70">
        <f>IF(B11=0,0,B14*0.5/B11)</f>
        <v/>
      </c>
      <c r="C15" s="47" t="inlineStr">
        <is>
          <t>$/job</t>
        </is>
      </c>
    </row>
    <row r="16" ht="15" customHeight="1" s="44">
      <c r="A16" s="50" t="inlineStr">
        <is>
          <t>→ Trần theo nhân công — mức 70%</t>
        </is>
      </c>
      <c r="B16" s="70">
        <f>IF(B11=0,0,B14*0.7/B11)</f>
        <v/>
      </c>
      <c r="C16" s="47" t="inlineStr">
        <is>
          <t>$/job</t>
        </is>
      </c>
    </row>
    <row r="18" ht="15" customHeight="1" s="44">
      <c r="A18" s="59" t="inlineStr">
        <is>
          <t>GIÁ BÁN CỦA BẠN</t>
        </is>
      </c>
      <c r="B18" s="60" t="n"/>
      <c r="C18" s="60" t="n"/>
      <c r="D18" s="60" t="n"/>
      <c r="E18" s="60" t="n"/>
      <c r="F18" s="60" t="n"/>
      <c r="G18" s="60" t="n"/>
      <c r="H18" s="60" t="n"/>
    </row>
    <row r="19" ht="44" customHeight="1" s="44">
      <c r="A19" s="50" t="inlineStr">
        <is>
          <t>★ Giá bán đề xuất ($ / job)</t>
        </is>
      </c>
      <c r="B19" s="67" t="n">
        <v>0.2309145453429908</v>
      </c>
      <c r="C19" s="47" t="inlineStr">
        <is>
          <t>$/job</t>
        </is>
      </c>
      <c r="D19" s="62" t="inlineStr">
        <is>
          <t>Giá BÌNH QUÂN THỰC HIỆN của mô hình Hybrid: (phí nền 130tr ₫ + 1.900 ₫ × 69.440 ca contained + 12.000 ₫ × 25.844 hồ sơ) ÷ 95.284 job = 22.002,46 $ ÷ 95.284. Bảng giá chi tiết ở khối mở rộng dòng 56.</t>
        </is>
      </c>
    </row>
    <row r="20" ht="15" customHeight="1" s="44">
      <c r="A20" s="50" t="inlineStr">
        <is>
          <t>→ Bội số so với Cost/Job</t>
        </is>
      </c>
      <c r="B20" s="91">
        <f>IF(B5=0,0,B19/B5)</f>
        <v/>
      </c>
    </row>
    <row r="21" ht="15" customHeight="1" s="44">
      <c r="A21" s="54" t="inlineStr">
        <is>
          <t>→ GROSS MARGIN</t>
        </is>
      </c>
      <c r="B21" s="92">
        <f>IF(B19=0,0,(B19-B5)/B19)</f>
        <v/>
      </c>
    </row>
    <row r="22" ht="15" customHeight="1" s="44">
      <c r="A22" s="50" t="inlineStr">
        <is>
          <t>→ Đèn: bội số ≥ 3?</t>
        </is>
      </c>
      <c r="B22" s="51">
        <f>IF(B20&gt;=B6,"OK — ĐẠT","KHÔNG ĐẠT — quay lại tab 1")</f>
        <v/>
      </c>
    </row>
    <row r="23" ht="15" customHeight="1" s="44">
      <c r="A23" s="50" t="inlineStr">
        <is>
          <t>→ Đèn: Gross Margin</t>
        </is>
      </c>
      <c r="B23" s="51">
        <f>IF(B21&gt;=0.6,"OK — AN TOÀN (≥60%)",IF(B21&gt;=0.5,"CẢNH BÁO (50–60%)","NGUY HIỂM (&lt;50%)"))</f>
        <v/>
      </c>
    </row>
    <row r="24" ht="15" customHeight="1" s="44">
      <c r="A24" s="50" t="inlineStr">
        <is>
          <t>→ Đèn: GM có cao bất thường?</t>
        </is>
      </c>
      <c r="B24" s="51">
        <f>IF(B21&gt;0.85,"NGHI NGỜ — nhiều khả năng bạn quên một khoản chi phí","OK")</f>
        <v/>
      </c>
    </row>
    <row r="25" ht="15" customHeight="1" s="44">
      <c r="A25" s="50" t="inlineStr">
        <is>
          <t>→ Giá bán nằm trong vùng neo?</t>
        </is>
      </c>
      <c r="B25" s="51">
        <f>IF(AND(B19&gt;=B7,B19&lt;=MAX(B13,B16)),"OK — trong vùng giá bán","XEM LẠI — ngoài vùng giá sàn/trần")</f>
        <v/>
      </c>
    </row>
    <row r="27" ht="15" customHeight="1" s="44">
      <c r="A27" s="59" t="inlineStr">
        <is>
          <t>BREAKEVEN CONTAINMENT — ngưỡng sống còn</t>
        </is>
      </c>
      <c r="B27" s="60" t="n"/>
      <c r="C27" s="60" t="n"/>
      <c r="D27" s="60" t="n"/>
      <c r="E27" s="60" t="n"/>
      <c r="F27" s="60" t="n"/>
      <c r="G27" s="60" t="n"/>
      <c r="H27" s="60" t="n"/>
    </row>
    <row r="28" ht="15" customHeight="1" s="44">
      <c r="A28" s="47" t="inlineStr">
        <is>
          <t>Ký hiệu: v = chi phí biến đổi / job thử · q = QA / job thử · e = chi phí 1 ca escalate</t>
        </is>
      </c>
    </row>
    <row r="29" ht="15" customHeight="1" s="44">
      <c r="A29" s="50" t="inlineStr">
        <is>
          <t>v — chi phí biến đổi / job thử</t>
        </is>
      </c>
      <c r="B29" s="89">
        <f>1_Cost_Job!B31+1_Cost_Job!B38+1_Cost_Job!B43+1_Cost_Job!B47</f>
        <v/>
      </c>
    </row>
    <row r="30" ht="15" customHeight="1" s="44">
      <c r="A30" s="50" t="inlineStr">
        <is>
          <t>q — QA nội bộ / job thử</t>
        </is>
      </c>
      <c r="B30" s="89">
        <f>1_Cost_Job!B51*(1_Cost_Job!B52/60)*1_Cost_Job!B50</f>
        <v/>
      </c>
    </row>
    <row r="31" ht="15" customHeight="1" s="44">
      <c r="A31" s="50" t="inlineStr">
        <is>
          <t>e — chi phí 1 ca escalate</t>
        </is>
      </c>
      <c r="B31" s="89">
        <f>IF(1_Cost_Job!B6="B",(1_Cost_Job!B53/60)*1_Cost_Job!B50,0)</f>
        <v/>
      </c>
    </row>
    <row r="32" ht="15" customHeight="1" s="44">
      <c r="A32" s="50" t="inlineStr">
        <is>
          <t>Gross Margin mục tiêu</t>
        </is>
      </c>
      <c r="B32" s="77" t="n">
        <v>0.6</v>
      </c>
    </row>
    <row r="33" ht="15" customHeight="1" s="44">
      <c r="A33" s="54" t="inlineStr">
        <is>
          <t>★ Containment tối thiểu cần đạt</t>
        </is>
      </c>
      <c r="B33" s="92">
        <f>IF((B19*(1-B32)+B31)=0,0,(B29+B30+B31)/(B19*(1-B32)+B31))</f>
        <v/>
      </c>
      <c r="D33" s="47" t="inlineStr">
        <is>
          <t>Công thức: R ≥ (v+q+e) / (P×(1−GM)+e)</t>
        </is>
      </c>
    </row>
    <row r="34" ht="15" customHeight="1" s="44">
      <c r="A34" s="50" t="inlineStr">
        <is>
          <t>Containment hiện tại (từ tab 1)</t>
        </is>
      </c>
      <c r="B34" s="93">
        <f>1_Cost_Job!B10</f>
        <v/>
      </c>
    </row>
    <row r="35" ht="15" customHeight="1" s="44">
      <c r="A35" s="50" t="inlineStr">
        <is>
          <t>→ Kết luận</t>
        </is>
      </c>
      <c r="B35" s="51">
        <f>IF(B34&gt;=B33,"ĐẠT — mô hình có lãi lành mạnh","CHƯA ĐẠT — phải tăng containment, tăng giá, hoặc đổi biến thể HITL")</f>
        <v/>
      </c>
    </row>
    <row r="37" ht="15" customHeight="1" s="44">
      <c r="A37" s="59" t="inlineStr">
        <is>
          <t>SENSITIVITY — mô hình gãy ở đâu?</t>
        </is>
      </c>
      <c r="B37" s="60" t="n"/>
      <c r="C37" s="60" t="n"/>
      <c r="D37" s="60" t="n"/>
      <c r="E37" s="60" t="n"/>
      <c r="F37" s="60" t="n"/>
      <c r="G37" s="60" t="n"/>
      <c r="H37" s="60" t="n"/>
    </row>
    <row r="38" ht="15" customHeight="1" s="44">
      <c r="A38" s="94" t="inlineStr">
        <is>
          <t>Containment</t>
        </is>
      </c>
      <c r="B38" s="94" t="inlineStr">
        <is>
          <t>Cost/Job</t>
        </is>
      </c>
      <c r="C38" s="94" t="inlineStr">
        <is>
          <t>Gross Margin</t>
        </is>
      </c>
      <c r="D38" s="94" t="inlineStr">
        <is>
          <t>Đánh giá</t>
        </is>
      </c>
    </row>
    <row r="39" ht="15" customHeight="1" s="44">
      <c r="A39" s="95" t="n">
        <v>0.5</v>
      </c>
      <c r="B39" s="70">
        <f>($B$29+$B$30+$B$31*(1-A39))/A39</f>
        <v/>
      </c>
      <c r="C39" s="72">
        <f>IF($B$19=0,0,1-B39/$B$19)</f>
        <v/>
      </c>
      <c r="D39" s="51">
        <f>IF(C39&gt;=0.6,"An toàn",IF(C39&gt;=0.5,"Cảnh báo","Nguy hiểm"))</f>
        <v/>
      </c>
    </row>
    <row r="40" ht="15" customHeight="1" s="44">
      <c r="A40" s="95" t="n">
        <v>0.6</v>
      </c>
      <c r="B40" s="70">
        <f>($B$29+$B$30+$B$31*(1-A40))/A40</f>
        <v/>
      </c>
      <c r="C40" s="72">
        <f>IF($B$19=0,0,1-B40/$B$19)</f>
        <v/>
      </c>
      <c r="D40" s="51">
        <f>IF(C40&gt;=0.6,"An toàn",IF(C40&gt;=0.5,"Cảnh báo","Nguy hiểm"))</f>
        <v/>
      </c>
    </row>
    <row r="41" ht="15" customHeight="1" s="44">
      <c r="A41" s="95" t="n">
        <v>0.7</v>
      </c>
      <c r="B41" s="70">
        <f>($B$29+$B$30+$B$31*(1-A41))/A41</f>
        <v/>
      </c>
      <c r="C41" s="72">
        <f>IF($B$19=0,0,1-B41/$B$19)</f>
        <v/>
      </c>
      <c r="D41" s="51">
        <f>IF(C41&gt;=0.6,"An toàn",IF(C41&gt;=0.5,"Cảnh báo","Nguy hiểm"))</f>
        <v/>
      </c>
    </row>
    <row r="42" ht="15" customHeight="1" s="44">
      <c r="A42" s="95" t="n">
        <v>0.8</v>
      </c>
      <c r="B42" s="70">
        <f>($B$29+$B$30+$B$31*(1-A42))/A42</f>
        <v/>
      </c>
      <c r="C42" s="72">
        <f>IF($B$19=0,0,1-B42/$B$19)</f>
        <v/>
      </c>
      <c r="D42" s="51">
        <f>IF(C42&gt;=0.6,"An toàn",IF(C42&gt;=0.5,"Cảnh báo","Nguy hiểm"))</f>
        <v/>
      </c>
    </row>
    <row r="43" ht="15" customHeight="1" s="44">
      <c r="A43" s="95" t="n">
        <v>0.9</v>
      </c>
      <c r="B43" s="70">
        <f>($B$29+$B$30+$B$31*(1-A43))/A43</f>
        <v/>
      </c>
      <c r="C43" s="72">
        <f>IF($B$19=0,0,1-B43/$B$19)</f>
        <v/>
      </c>
      <c r="D43" s="51">
        <f>IF(C43&gt;=0.6,"An toàn",IF(C43&gt;=0.5,"Cảnh báo","Nguy hiểm"))</f>
        <v/>
      </c>
    </row>
    <row r="44" ht="15" customHeight="1" s="44">
      <c r="A44" s="95" t="n">
        <v>0.95</v>
      </c>
      <c r="B44" s="70">
        <f>($B$29+$B$30+$B$31*(1-A44))/A44</f>
        <v/>
      </c>
      <c r="C44" s="72">
        <f>IF($B$19=0,0,1-B44/$B$19)</f>
        <v/>
      </c>
      <c r="D44" s="51">
        <f>IF(C44&gt;=0.6,"An toàn",IF(C44&gt;=0.5,"Cảnh báo","Nguy hiểm"))</f>
        <v/>
      </c>
    </row>
    <row r="46" ht="15" customHeight="1" s="44">
      <c r="A46" s="47" t="inlineStr">
        <is>
          <t>Nhìn cột Gross Margin: mô hình của bạn mong manh đến mức nào khi AI làm sai nhiều hơn dự kiến?</t>
        </is>
      </c>
    </row>
    <row r="48" ht="15" customHeight="1" s="44">
      <c r="A48" s="59" t="inlineStr">
        <is>
          <t>5 CON SỐ PHẢI MANG SANG ONE-PAGER</t>
        </is>
      </c>
      <c r="B48" s="60" t="n"/>
      <c r="C48" s="60" t="n"/>
      <c r="D48" s="60" t="n"/>
      <c r="E48" s="60" t="n"/>
      <c r="F48" s="60" t="n"/>
      <c r="G48" s="60" t="n"/>
      <c r="H48" s="60" t="n"/>
    </row>
    <row r="49" ht="15" customHeight="1" s="44">
      <c r="A49" s="54" t="inlineStr">
        <is>
          <t>Cost/Job</t>
        </is>
      </c>
      <c r="B49" s="71">
        <f>B5</f>
        <v/>
      </c>
    </row>
    <row r="50" ht="15" customHeight="1" s="44">
      <c r="A50" s="54" t="inlineStr">
        <is>
          <t>Giá sàn (3×)</t>
        </is>
      </c>
      <c r="B50" s="71">
        <f>B7</f>
        <v/>
      </c>
    </row>
    <row r="51" ht="15" customHeight="1" s="44">
      <c r="A51" s="54" t="inlineStr">
        <is>
          <t>Giá bán đề xuất</t>
        </is>
      </c>
      <c r="B51" s="71">
        <f>B19</f>
        <v/>
      </c>
    </row>
    <row r="52" ht="15" customHeight="1" s="44">
      <c r="A52" s="54" t="inlineStr">
        <is>
          <t>Gross Margin</t>
        </is>
      </c>
      <c r="B52" s="92">
        <f>B21</f>
        <v/>
      </c>
    </row>
    <row r="53" ht="15" customHeight="1" s="44">
      <c r="A53" s="54" t="inlineStr">
        <is>
          <t>Breakeven containment</t>
        </is>
      </c>
      <c r="B53" s="92">
        <f>B33</f>
        <v/>
      </c>
    </row>
    <row r="55">
      <c r="A55" s="55" t="inlineStr">
        <is>
          <t>KHỐI MỞ RỘNG — học viên thêm</t>
        </is>
      </c>
    </row>
    <row r="56">
      <c r="A56" s="55" t="inlineStr">
        <is>
          <t>① BẢNG GIÁ HYBRID — ô B19 ở trên là con số bình quân của ba dòng này</t>
        </is>
      </c>
    </row>
    <row r="57">
      <c r="A57" s="43" t="inlineStr">
        <is>
          <t>Phí nền / tháng</t>
        </is>
      </c>
      <c r="B57" s="82" t="n">
        <v>130000000</v>
      </c>
      <c r="C57" s="43" t="inlineStr">
        <is>
          <t>₫</t>
        </is>
      </c>
      <c r="D57" s="86" t="inlineStr">
        <is>
          <t>Đổi lấy MỘT thứ cụ thể, không phải 'quyền truy cập': nạp KB riêng · connector MCP vào hệ thống ví · dashboard tenant · SLA 99,5% · log kiểm toán bất biến · báo cáo eval hằng quý · KHÔNG giới hạn seat.</t>
        </is>
      </c>
    </row>
    <row r="58">
      <c r="A58" s="43" t="inlineStr">
        <is>
          <t>Đơn giá — ca contained</t>
        </is>
      </c>
      <c r="B58" s="82" t="n">
        <v>1900</v>
      </c>
      <c r="C58" s="43" t="inlineStr">
        <is>
          <t>₫/job</t>
        </is>
      </c>
      <c r="D58" s="86" t="inlineStr">
        <is>
          <t>Agent tự giải quyết xong, khách không mở lại trong cửa sổ quy định.</t>
        </is>
      </c>
    </row>
    <row r="59">
      <c r="A59" s="43" t="inlineStr">
        <is>
          <t>Đơn giá — hồ sơ được duyệt lần đầu</t>
        </is>
      </c>
      <c r="B59" s="82" t="n">
        <v>12000</v>
      </c>
      <c r="C59" s="43" t="inlineStr">
        <is>
          <t>₫/job</t>
        </is>
      </c>
      <c r="D59" s="86" t="inlineStr">
        <is>
          <t>Chỉ tính khi sếp ví ra quyết định cuối ngay lần trình đầu. Bị trả về = KHÔNG tính tiền.</t>
        </is>
      </c>
    </row>
    <row r="60">
      <c r="A60" s="56" t="inlineStr">
        <is>
          <t>Doanh thu / ví / tháng</t>
        </is>
      </c>
      <c r="B60" s="85" t="n">
        <v>22002.46153846154</v>
      </c>
      <c r="D60" s="86" t="inlineStr">
        <is>
          <t>Tức 572,1tr ₫. Bằng 17,6% giá trị tạo ra cho ví (quy tắc 10–25%), ROI của khách 5,7 lần.</t>
        </is>
      </c>
    </row>
    <row r="61">
      <c r="A61" s="43" t="inlineStr">
        <is>
          <t>Giá bình quân — CÓ phí nền</t>
        </is>
      </c>
      <c r="B61" s="106" t="n">
        <v>0.2309145453429908</v>
      </c>
      <c r="D61" s="86" t="inlineStr">
        <is>
          <t>Chính là ô B19.</t>
        </is>
      </c>
    </row>
    <row r="62">
      <c r="A62" s="43" t="inlineStr">
        <is>
          <t>Bội số tương ứng</t>
        </is>
      </c>
      <c r="B62" s="107" t="n">
        <v>3.806279367976515</v>
      </c>
      <c r="D62" s="86" t="inlineStr">
        <is>
          <t>ĐẠT ngưỡng 3×.</t>
        </is>
      </c>
    </row>
    <row r="63">
      <c r="A63" s="43" t="inlineStr">
        <is>
          <t>Giá bình quân — CHỈ dòng usage</t>
        </is>
      </c>
      <c r="B63" s="106" t="n">
        <v>0.178439838151857</v>
      </c>
      <c r="D63" s="86" t="inlineStr">
        <is>
          <t>Bỏ phí nền ra.</t>
        </is>
      </c>
    </row>
    <row r="64">
      <c r="A64" s="43" t="inlineStr">
        <is>
          <t>Bội số nếu chỉ tính dòng usage</t>
        </is>
      </c>
      <c r="B64" s="108" t="n">
        <v>2.941312654746969</v>
      </c>
      <c r="D64" s="86" t="inlineStr">
        <is>
          <t>TRƯỢT ngưỡng 3×. Đây là phát hiện đáng nói nhất của bảng giá: PHÍ NỀN mới là thứ kéo mô hình qua ngưỡng, dòng usage đứng một mình thì không. Nên phí nền không phải khoản phụ thu cho tiện — nó là cấu trúc.</t>
        </is>
      </c>
    </row>
    <row r="66">
      <c r="A66" s="55" t="inlineStr">
        <is>
          <t>② HAI NGƯỠNG CỦA BÀI KHÔNG ĐỘC LẬP NHAU</t>
        </is>
      </c>
    </row>
    <row r="67">
      <c r="A67" s="56" t="inlineStr">
        <is>
          <t>Chứng minh một dòng</t>
        </is>
      </c>
      <c r="B67" s="57" t="inlineStr">
        <is>
          <t>Giá bán ÷ Cost/Job = Doanh thu ÷ COGS = 1/(1−GM). Nên ngưỡng 'bội số ≥ 3' tương đương chính xác với 'GM ≥ 66,67%', chặt hơn ngưỡng GM ≥ 60%. Ràng buộc thật của mô hình này là bội số 3×, không phải đèn Gross Margin. Ta báo cả hai và nói rõ mình đứng ở đâu, thay vì coi chúng là hai phép thử riêng.</t>
        </is>
      </c>
    </row>
    <row r="69">
      <c r="A69" s="55" t="inlineStr">
        <is>
          <t>③ TRẠNG THÁI ĐO ĐƯỢC HÔM NAY — vì sao chưa được ký hợp đồng</t>
        </is>
      </c>
    </row>
    <row r="70">
      <c r="A70" s="43" t="inlineStr">
        <is>
          <t>Tỷ lệ mở đúng hồ sơ — ĐO 27/08/2026</t>
        </is>
      </c>
      <c r="B70" s="109" t="n">
        <v>0.01030927835051546</v>
      </c>
      <c r="D70" s="86" t="inlineStr">
        <is>
          <t>1/97 ca kỳ vọng. missed_expected_ticket = 96, n_cases_expecting_ticket = 97. Nguồn: eval/results/run-2026-08-27-sau-seed-scored.json, có provenance (commit 10d30e5, sha256 của bộ chấm, file run, bộ đáp án và dataset).</t>
        </is>
      </c>
    </row>
    <row r="71">
      <c r="A71" s="43" t="inlineStr">
        <is>
          <t>→ Tỷ lệ hoàn thành job tương ứng</t>
        </is>
      </c>
      <c r="B71" s="88" t="n">
        <v>0.498680412371134</v>
      </c>
      <c r="D71" s="86" t="inlineStr">
        <is>
          <t>Giữ nguyên giả định containment lớp A 80%, chỉ thay đường hồ sơ bằng số đo được.</t>
        </is>
      </c>
    </row>
    <row r="72">
      <c r="A72" s="43" t="inlineStr">
        <is>
          <t>→ Cost/Job ở mức đó</t>
        </is>
      </c>
      <c r="B72" s="106" t="n">
        <v>0.08279807960894309</v>
      </c>
      <c r="D72" s="86" t="inlineStr"/>
    </row>
    <row r="73">
      <c r="A73" s="43" t="inlineStr">
        <is>
          <t>→ Gross Margin</t>
        </is>
      </c>
      <c r="B73" s="110" t="n">
        <v>0.6414341093760106</v>
      </c>
      <c r="D73" s="86" t="inlineStr">
        <is>
          <t>Vẫn qua đèn GM 60%.</t>
        </is>
      </c>
    </row>
    <row r="74">
      <c r="A74" s="43" t="inlineStr">
        <is>
          <t>→ Bội số</t>
        </is>
      </c>
      <c r="B74" s="108" t="n">
        <v>2.788887694420023</v>
      </c>
      <c r="D74" s="86" t="inlineStr">
        <is>
          <t>TRƯỢT ngưỡng 3×. Đây là phán quyết: chưa được ký hợp đồng theo bảng giá này.</t>
        </is>
      </c>
    </row>
    <row r="75">
      <c r="A75" s="56" t="inlineStr">
        <is>
          <t>Chẩn đoán — và vì sao đây là khoảng cách đóng được</t>
        </is>
      </c>
      <c r="B75" s="57" t="inlineStr">
        <is>
          <t>File chấm ghi thẳng nguyên nhân là HỆ THỐNG, không phải model yếu: business_config rỗng nên prompt rơi về khung chung và agent gần như không mở hồ sơ ở bất kỳ ca nào. Đó là lỗi cấu hình cộng định tuyến skill, không phải giới hạn năng lực. Nhưng nó phải được đóng TRƯỚC khi ký, không phải sau — nên tháng 1 của kế hoạch 90 ngày cố ý đặt mục tiêu ký 0 hợp đồng.</t>
        </is>
      </c>
    </row>
    <row r="76">
      <c r="A76" s="56" t="inlineStr">
        <is>
          <t>Một cảnh báo về chính phép đo</t>
        </is>
      </c>
      <c r="B76" s="57" t="inlineStr">
        <is>
          <t>Bộ số tôi dùng lúc đầu là lượt 22/08 với hard_pass_rate 0,9397. Chính repo sau đó đánh dấu lượt ấy KHÔNG dùng được: nó lưu nhãn hiển thị thay vì tên tool nên create_ticket và lock_wallet vô hình với bộ chấm. Trong cùng thư mục còn có một lượt hỏng vì môi trường lại được chấm CAO ở tầng vi phạm chặn (không tra được thì không có số nào để bịa), và một lượt lỗi 429 ở 70/118 ca được chấm 99,14%. Bài học cho đúng bài Pricing này: nếu bạn tính tiền theo kết quả thì con số kết quả phải TÁI LẬP ĐƯỢC, không chỉ phải TỒN TẠI.</t>
        </is>
      </c>
    </row>
    <row r="78">
      <c r="A78" s="55" t="inlineStr">
        <is>
          <t>④ BIẾN THỂ B — nếu ta nhận trách nhiệm giao kết quả cuối (mô phỏng, KHÔNG chọn)</t>
        </is>
      </c>
    </row>
    <row r="79">
      <c r="A79" s="43" t="inlineStr">
        <is>
          <t>Chi phí một ca escalate</t>
        </is>
      </c>
      <c r="B79" s="87" t="n">
        <v>0.66</v>
      </c>
      <c r="D79" s="86" t="inlineStr">
        <is>
          <t>12 phút × 3,30 $/giờ.</t>
        </is>
      </c>
    </row>
    <row r="80">
      <c r="A80" s="43" t="inlineStr">
        <is>
          <t>Cost/Job ở Biến thể B</t>
        </is>
      </c>
      <c r="B80" s="106" t="n">
        <v>0.3703993248353302</v>
      </c>
      <c r="D80" s="86" t="inlineStr">
        <is>
          <t>Ở đúng điểm vận hành mục tiêu 68,06%.</t>
        </is>
      </c>
    </row>
    <row r="81">
      <c r="A81" s="43" t="inlineStr">
        <is>
          <t>Gross Margin ở Biến thể B</t>
        </is>
      </c>
      <c r="B81" s="109" t="n">
        <v>-0.6040536739907594</v>
      </c>
      <c r="D81" s="86" t="inlineStr">
        <is>
          <t>ÂM.</t>
        </is>
      </c>
    </row>
    <row r="82">
      <c r="A82" s="43" t="inlineStr">
        <is>
          <t>Containment cần để Biến thể B đạt GM 60%</t>
        </is>
      </c>
      <c r="B82" s="109" t="n">
        <v>0.9321127616074701</v>
      </c>
      <c r="D82" s="86" t="inlineStr">
        <is>
          <t>Bất khả thi với sản phẩm mà HITL là bắt buộc theo Nghị định 52/2024 và Thông tư 40/2024.</t>
        </is>
      </c>
    </row>
    <row r="83">
      <c r="A83" s="56" t="inlineStr">
        <is>
          <t>Đây là lý do ĐỊNH LƯỢNG để không bán Outcome</t>
        </is>
      </c>
      <c r="B83" s="57" t="inlineStr">
        <is>
          <t>Nhận trách nhiệm giao kết quả cuối biến biên dương thành âm và đòi tỷ lệ hoàn thành 93,2%. Intercom bán được 0,99 $/resolution vì Fin nói thẳng với người dùng cuối và tự đóng ca; WalletCare không có quyền đó, và theo luật thì sẽ không bao giờ có. Lập luận này mạnh hơn mọi lý lẽ định tính.</t>
        </is>
      </c>
    </row>
    <row r="85">
      <c r="A85" s="55" t="inlineStr">
        <is>
          <t>⑤ BREAKEVEN THEO ĐƯỜNG HỒ SƠ — biến thật sự quyết định sống chết</t>
        </is>
      </c>
    </row>
    <row r="86">
      <c r="A86" s="56" t="inlineStr">
        <is>
          <t>Vì sao phải tính riêng</t>
        </is>
      </c>
      <c r="B86" s="57" t="inlineStr">
        <is>
          <t>Ô B33 ở trên cho breakeven theo MỘT biến containment gộp. Nhưng job của ta có hai đường với đơn giá lệch nhau 6,3 lần, nên hạ containment lớp A làm mix nghiêng về hồ sơ và ĐẨY giá bình quân LÊN. Giải theo một biến gộp sẽ ra kết quả mâu thuẫn với bảng quét. Phải giải riêng từng biến, giữ biến kia cố định.</t>
        </is>
      </c>
    </row>
    <row r="87">
      <c r="A87" s="43" t="inlineStr">
        <is>
          <t>Tỷ lệ hồ sơ duyệt-lần-đầu tối thiểu — để đạt 3×</t>
        </is>
      </c>
      <c r="B87" s="109" t="n">
        <v>0.4325741824028132</v>
      </c>
      <c r="D87" s="86" t="inlineStr">
        <is>
          <t>Giữ containment lớp A ở 80%.</t>
        </is>
      </c>
    </row>
    <row r="88">
      <c r="A88" s="43" t="inlineStr">
        <is>
          <t>Tỷ lệ hồ sơ duyệt-lần-đầu tối thiểu — để đạt GM 60%</t>
        </is>
      </c>
      <c r="B88" s="88" t="n">
        <v>0.2605334303906227</v>
      </c>
      <c r="D88" s="86" t="inlineStr"/>
    </row>
    <row r="89">
      <c r="A89" s="43" t="inlineStr">
        <is>
          <t>Containment lớp A tối thiểu — để đạt 3×</t>
        </is>
      </c>
      <c r="B89" s="110" t="n">
        <v>0.06522194320609288</v>
      </c>
      <c r="D89" s="86" t="inlineStr">
        <is>
          <t>Giữ đường hồ sơ ở 71%. Thấp đến mức gần như không ràng buộc.</t>
        </is>
      </c>
    </row>
    <row r="90">
      <c r="A90" s="56" t="inlineStr">
        <is>
          <t>Kết luận rút ra</t>
        </is>
      </c>
      <c r="B90" s="57" t="inlineStr">
        <is>
          <t>Biến quyết định sống chết là ĐƯỜNG HỒ SƠ, không phải containment. Ưu tiên kỹ thuật số 1 vì thế là cụm lỗi 'không mở hồ sơ' — chứ không phải cải thiện chất lượng trả lời nói chung. Đây là chỗ mô hình tài chính trả lại một chỉ dẫn kỹ thuật cụ thể, thay vì chỉ ra một con số.</t>
        </is>
      </c>
    </row>
  </sheetData>
  <mergeCells count="12">
    <mergeCell ref="A69:E69"/>
    <mergeCell ref="A55:E55"/>
    <mergeCell ref="B76:E76"/>
    <mergeCell ref="A78:E78"/>
    <mergeCell ref="B83:E83"/>
    <mergeCell ref="B75:E75"/>
    <mergeCell ref="B86:E86"/>
    <mergeCell ref="A85:E85"/>
    <mergeCell ref="B90:E90"/>
    <mergeCell ref="A66:E66"/>
    <mergeCell ref="A56:E56"/>
    <mergeCell ref="B67:E6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43" min="1" max="1"/>
    <col width="22" customWidth="1" style="43" min="2" max="2"/>
    <col width="46" customWidth="1" style="43" min="3" max="3"/>
    <col width="44" customWidth="1" style="43" min="4" max="4"/>
    <col width="20" customWidth="1" style="43" min="5" max="8"/>
  </cols>
  <sheetData>
    <row r="1" ht="24" customHeight="1" s="44">
      <c r="A1" s="45" t="inlineStr">
        <is>
          <t>TAB 3 — VALUE METRIC SCORECARD</t>
        </is>
      </c>
      <c r="B1" s="46" t="n"/>
      <c r="C1" s="46" t="n"/>
      <c r="D1" s="46" t="n"/>
      <c r="E1" s="46" t="n"/>
      <c r="F1" s="46" t="n"/>
      <c r="G1" s="46" t="n"/>
      <c r="H1" s="46" t="n"/>
    </row>
    <row r="2" ht="15" customHeight="1" s="44">
      <c r="A2" s="47" t="inlineStr">
        <is>
          <t>Trạm 2. Chấm 0 / 1 / 2 điểm cho mỗi câu, theo THỰC TẾ HÔM NAY.</t>
        </is>
      </c>
    </row>
    <row r="4" ht="15" customHeight="1" s="44">
      <c r="A4" s="59" t="inlineStr">
        <is>
          <t>A. ATTRIBUTION — bạn đo được kết quả là do AI tạo ra không?</t>
        </is>
      </c>
      <c r="B4" s="60" t="n"/>
      <c r="C4" s="60" t="n"/>
      <c r="D4" s="60" t="n"/>
      <c r="E4" s="60" t="n"/>
      <c r="F4" s="60" t="n"/>
      <c r="G4" s="60" t="n"/>
      <c r="H4" s="60" t="n"/>
    </row>
    <row r="5" ht="30" customHeight="1" s="44">
      <c r="A5" s="50" t="inlineStr">
        <is>
          <t>1. Tôi có log đầy đủ mỗi job AI xử lý, gắn được với kết quả cuối cùng</t>
        </is>
      </c>
      <c r="B5" s="63" t="n">
        <v>1</v>
      </c>
      <c r="D5" s="86" t="inlineStr">
        <is>
          <t>Có trace span, token mỗi lượt, conversation_id. Nhưng chưa nối vào máy trạng thái ticket của một ví THẬT nên chưa gắn được với kết quả cuối của khách.</t>
        </is>
      </c>
    </row>
    <row r="6" ht="30" customHeight="1" s="44">
      <c r="A6" s="50" t="inlineStr">
        <is>
          <t>2. Tôi có bộ eval (Day 21–22) đo được tỷ lệ AI làm đúng, có số liệu</t>
        </is>
      </c>
      <c r="B6" s="63" t="n">
        <v>2</v>
      </c>
      <c r="D6" s="86" t="inlineStr">
        <is>
          <t>Golden 118 ca + held-out 49 ca, thẻ điểm 3 mức, và từ 26/08/2026 mỗi file chấm mang provenance đầy đủ.</t>
        </is>
      </c>
    </row>
    <row r="7" ht="30" customHeight="1" s="44">
      <c r="A7" s="50" t="inlineStr">
        <is>
          <t>3. Khách hàng đồng ý với cách tôi định nghĩa 'thành công' của một job</t>
        </is>
      </c>
      <c r="B7" s="63" t="n">
        <v>0</v>
      </c>
      <c r="D7" s="86" t="inlineStr">
        <is>
          <t>Chưa có ví nào là khách. ZaloPay mới ở mức góp ý nghiệp vụ cho demo — chưa ai ký vào định nghĩa 'thành công'.</t>
        </is>
      </c>
    </row>
    <row r="8" ht="30" customHeight="1" s="44">
      <c r="A8" s="50" t="inlineStr">
        <is>
          <t>4. Tôi phân biệt được kết quả do AI tạo ra với kết quả do yếu tố khác</t>
        </is>
      </c>
      <c r="B8" s="63" t="n">
        <v>0</v>
      </c>
      <c r="D8" s="86" t="inlineStr">
        <is>
          <t>Chưa có holdout hay A/B trên lưu lượng thật. Không trả lời được câu 'ví vẫn đóng được ca này nếu không có WalletCare'.</t>
        </is>
      </c>
    </row>
    <row r="9" ht="30" customHeight="1" s="44">
      <c r="A9" s="50" t="inlineStr">
        <is>
          <t>5. Tôi viết được định nghĩa chặt như Intercom: cái gì tính tiền, cái gì không</t>
        </is>
      </c>
      <c r="B9" s="63" t="n">
        <v>2</v>
      </c>
      <c r="D9" s="86" t="inlineStr">
        <is>
          <t>Đã viết chặt: hai đường hoàn thành, cửa sổ mở lại theo kênh, và danh sách loại trừ rõ (hồ sơ bị trả về, lỗi kỹ thuật, ca chuyển người ngay).</t>
        </is>
      </c>
    </row>
    <row r="10" ht="15" customHeight="1" s="44">
      <c r="A10" s="54" t="inlineStr">
        <is>
          <t>→ ĐIỂM ATTRIBUTION (tối đa 10)</t>
        </is>
      </c>
      <c r="B10" s="96">
        <f>SUM(B5:B9)</f>
        <v/>
      </c>
    </row>
    <row r="12" ht="15" customHeight="1" s="44">
      <c r="A12" s="59" t="inlineStr">
        <is>
          <t>B. AUTONOMY — AI tự chạy hay cần người?</t>
        </is>
      </c>
      <c r="B12" s="60" t="n"/>
      <c r="C12" s="60" t="n"/>
      <c r="D12" s="60" t="n"/>
      <c r="E12" s="60" t="n"/>
      <c r="F12" s="60" t="n"/>
      <c r="G12" s="60" t="n"/>
      <c r="H12" s="60" t="n"/>
    </row>
    <row r="13" ht="30" customHeight="1" s="44">
      <c r="A13" s="50" t="inlineStr">
        <is>
          <t>1. AI hoàn thành job từ đầu đến cuối, không cần người bấm nút giữa chừng</t>
        </is>
      </c>
      <c r="B13" s="63" t="n">
        <v>1</v>
      </c>
      <c r="D13" s="86" t="inlineStr">
        <is>
          <t>Được với lớp A (62% lưu lượng). Với ca chạm tiền thì bị CẤM tuyệt đối — Brief §7.1.</t>
        </is>
      </c>
    </row>
    <row r="14" ht="30" customHeight="1" s="44">
      <c r="A14" s="50" t="inlineStr">
        <is>
          <t>2. Job chạy được ngoài giờ hành chính mà không ai trực</t>
        </is>
      </c>
      <c r="B14" s="63" t="n">
        <v>1</v>
      </c>
      <c r="D14" s="86" t="inlineStr">
        <is>
          <t>Lớp A chạy được ngoài giờ. Ca chạm tiền phải nằm chờ người của ví.</t>
        </is>
      </c>
    </row>
    <row r="15" ht="30" customHeight="1" s="44">
      <c r="A15" s="50" t="inlineStr">
        <is>
          <t>3. Khi AI không chắc, nó tự chuyển tiếp đúng chỗ — không cần người phân loại</t>
        </is>
      </c>
      <c r="B15" s="63" t="n">
        <v>1</v>
      </c>
      <c r="D15" s="86" t="inlineStr">
        <is>
          <t>Có định tuyến escalate, nhưng eval chưa đạt ngưỡng cho chỉ số 'độ chính xác chọn đích escalate'.</t>
        </is>
      </c>
    </row>
    <row r="16" ht="30" customHeight="1" s="44">
      <c r="A16" s="50" t="inlineStr">
        <is>
          <t>4. Tỷ lệ ca phải có người can thiệp dưới 20%</t>
        </is>
      </c>
      <c r="B16" s="63" t="n">
        <v>0</v>
      </c>
      <c r="D16" s="86" t="inlineStr">
        <is>
          <t>38% lưu lượng phải có người can thiệp (lớp B 26% + lớp C 12%) — gấp đôi ngưỡng 20%.</t>
        </is>
      </c>
    </row>
    <row r="17" ht="30" customHeight="1" s="44">
      <c r="A17" s="50" t="inlineStr">
        <is>
          <t>5. Người vận hành chỉ kiểm tra mẫu (QA), không xử lý từng ca</t>
        </is>
      </c>
      <c r="B17" s="63" t="n">
        <v>0</v>
      </c>
      <c r="D17" s="86" t="inlineStr">
        <is>
          <t>Với lớp B, người của ví xử lý TỪNG ca. Đó là thiết kế bắt buộc, không phải thiếu sót.</t>
        </is>
      </c>
    </row>
    <row r="18" ht="15" customHeight="1" s="44">
      <c r="A18" s="54" t="inlineStr">
        <is>
          <t>→ ĐIỂM AUTONOMY (tối đa 10)</t>
        </is>
      </c>
      <c r="B18" s="96">
        <f>SUM(B13:B17)</f>
        <v/>
      </c>
    </row>
    <row r="20" ht="15" customHeight="1" s="44">
      <c r="A20" s="59" t="inlineStr">
        <is>
          <t>GỢI Ý CỦA MODEL</t>
        </is>
      </c>
      <c r="B20" s="60" t="n"/>
      <c r="C20" s="60" t="n"/>
      <c r="D20" s="60" t="n"/>
      <c r="E20" s="60" t="n"/>
      <c r="F20" s="60" t="n"/>
      <c r="G20" s="60" t="n"/>
      <c r="H20" s="60" t="n"/>
    </row>
    <row r="21" ht="15" customHeight="1" s="44">
      <c r="A21" s="54" t="inlineStr">
        <is>
          <t>→ Value Metric gợi ý</t>
        </is>
      </c>
      <c r="B21" s="97">
        <f>IF(AND(B10&gt;=7,B18&gt;=7),"OUTCOME",IF(AND(B10&gt;=7,B18&lt;7),"USAGE",IF(AND(B10&lt;7,B18&gt;=7),"USAGE (an toàn)","SEAT hoặc HYBRID")))</f>
        <v/>
      </c>
    </row>
    <row r="22" ht="15" customHeight="1" s="44">
      <c r="A22" s="47" t="inlineStr">
        <is>
          <t>Ngưỡng 7/10 là quy ước của bài tập, không phải chuẩn ngành — dùng để buộc bạn ra quyết định, không phải để thay bạn quyết định.</t>
        </is>
      </c>
    </row>
    <row r="24" ht="15" customHeight="1" s="44">
      <c r="A24" s="59" t="inlineStr">
        <is>
          <t>BENCHMARK NGƯỢC — 2 sản phẩm thật cùng loại job</t>
        </is>
      </c>
      <c r="B24" s="60" t="n"/>
      <c r="C24" s="60" t="n"/>
      <c r="D24" s="60" t="n"/>
      <c r="E24" s="60" t="n"/>
      <c r="F24" s="60" t="n"/>
      <c r="G24" s="60" t="n"/>
      <c r="H24" s="60" t="n"/>
    </row>
    <row r="25" ht="15" customHeight="1" s="44">
      <c r="A25" s="94" t="inlineStr">
        <is>
          <t>Tên sản phẩm</t>
        </is>
      </c>
      <c r="B25" s="94" t="inlineStr">
        <is>
          <t>Value Metric</t>
        </is>
      </c>
      <c r="C25" s="94" t="inlineStr">
        <is>
          <t>Giá công bố</t>
        </is>
      </c>
      <c r="D25" s="94" t="inlineStr">
        <is>
          <t>Link nguồn</t>
        </is>
      </c>
    </row>
    <row r="26" ht="56" customHeight="1" s="44">
      <c r="A26" s="49" t="inlineStr">
        <is>
          <t>Intercom Fin</t>
        </is>
      </c>
      <c r="B26" s="49" t="inlineStr">
        <is>
          <t>Outcome thuần</t>
        </is>
      </c>
      <c r="C26" s="61" t="inlineStr">
        <is>
          <t>0,99 $/resolution · 9,99 $/qualification. Trên helpdesk bên thứ ba: không phí seat, không phí tích hợp, có cam kết tối thiểu.</t>
        </is>
      </c>
      <c r="D26" s="111" t="inlineStr">
        <is>
          <t>https://fin.ai/pricing/</t>
        </is>
      </c>
    </row>
    <row r="27" ht="56" customHeight="1" s="44">
      <c r="A27" s="49" t="inlineStr">
        <is>
          <t>Zendesk</t>
        </is>
      </c>
      <c r="B27" s="49" t="inlineStr">
        <is>
          <t>Outcome theo bậc</t>
        </is>
      </c>
      <c r="C27" s="61" t="inlineStr">
        <is>
          <t>Ba bậc, chỉ MỘT bậc bị trừ hạn mức: assisted escalation (người hoàn tất — không trừ) · contained resolution (AI xong, khách không hỏi thêm — không trừ) · verified resolution (TRỪ, có LLM kiểm chứng). Cửa sổ kết thúc: 72h email · 2h messaging (chỉnh tới 72h) · ngay khi cúp máy. Trang này KHÔNG công bố đơn giá.</t>
        </is>
      </c>
      <c r="D27" s="111" t="inlineStr">
        <is>
          <t>https://support.zendesk.com/hc/en-us/articles/9570369117338-About-automated-resolution-tiers</t>
        </is>
      </c>
    </row>
    <row r="29" ht="15" customHeight="1" s="44">
      <c r="A29" s="59" t="inlineStr">
        <is>
          <t>QUYẾT ĐỊNH CUỐI</t>
        </is>
      </c>
      <c r="B29" s="60" t="n"/>
      <c r="C29" s="60" t="n"/>
      <c r="D29" s="60" t="n"/>
      <c r="E29" s="60" t="n"/>
      <c r="F29" s="60" t="n"/>
      <c r="G29" s="60" t="n"/>
      <c r="H29" s="60" t="n"/>
    </row>
    <row r="30" ht="15" customHeight="1" s="44">
      <c r="A30" s="50" t="inlineStr">
        <is>
          <t>Value Metric tôi chọn</t>
        </is>
      </c>
      <c r="B30" s="49" t="inlineStr">
        <is>
          <t>Hybrid</t>
        </is>
      </c>
    </row>
    <row r="31" ht="62" customHeight="1" s="44">
      <c r="A31" s="50" t="inlineStr">
        <is>
          <t>Nếu KHÁC gợi ý — lý do thị trường là gì?</t>
        </is>
      </c>
      <c r="B31" s="61" t="inlineStr">
        <is>
          <t>Không cần lý do thị trường — gợi ý của model rơi vào nhánh cuối (Attribution 5/10 và Autonomy 3/10, đều dưới ngưỡng 7), và Hybrid nằm đúng trong nhánh đó. Ghi chú thị trường có một điểm cần nói: ví Việt Nam mua theo hợp đồng năm CÓ TRẦN CHI TIÊU, nên bảng giá phải kèm cam kết tối thiểu và trần 120% gói. ICONIQ 2026 ghi 92% công ty AI nói chi phí AI khó dự đoán — cái trần là thứ khách MUA, không phải thứ ta nhượng bộ.</t>
        </is>
      </c>
      <c r="C31" s="112" t="n"/>
      <c r="D31" s="112" t="n"/>
      <c r="E31" s="113" t="n"/>
    </row>
    <row r="32" ht="62" customHeight="1" s="44">
      <c r="A32" s="50" t="inlineStr">
        <is>
          <t>Decision Note — câu 1: tôi chọn đơn vị nào?</t>
        </is>
      </c>
      <c r="B32" s="61" t="inlineStr">
        <is>
          <t>Hybrid: phí nền 130tr ₫/tháng + 1.900 ₫ mỗi ca contained + 12.000 ₫ mỗi hồ sơ được duyệt ngay lần trình đầu. Hồ sơ bị trả về hoặc ca chuyển ra người ngay từ đầu thì không tính tiền.</t>
        </is>
      </c>
      <c r="C32" s="112" t="n"/>
      <c r="D32" s="112" t="n"/>
      <c r="E32" s="113" t="n"/>
    </row>
    <row r="33" ht="62" customHeight="1" s="44">
      <c r="A33" s="50" t="inlineStr">
        <is>
          <t>Decision Note — câu 2: bằng chứng Attribution / Autonomy?</t>
        </is>
      </c>
      <c r="B33" s="61" t="inlineStr">
        <is>
          <t>Attribution 5/10: có bộ eval 118 ca chạy lại được và từ 26/08 có provenance, nhưng chính bộ eval đó đang trượt ngưỡng chặn của mình (blocking clean_rate 94,83% so với ngưỡng 100%: 4 ca lộ số điện thoại, 1 grounding, 1 cụm từ cấm), và ta chưa có holdout để tách phần đóng góp của AI. Autonomy 3/10 và THẤP VĨNH VIỄN: mọi quyết định về tiền do người của ví duyệt — ràng buộc tuân thủ, không phải giới hạn kỹ thuật, nên không nâng được bằng cách làm model tốt hơn.</t>
        </is>
      </c>
      <c r="C33" s="112" t="n"/>
      <c r="D33" s="112" t="n"/>
      <c r="E33" s="113" t="n"/>
    </row>
    <row r="34" ht="62" customHeight="1" s="44">
      <c r="A34" s="50" t="inlineStr">
        <is>
          <t>Decision Note — câu 3: mô hình này lỗ trong tình huống nào?</t>
        </is>
      </c>
      <c r="B34" s="61" t="inlineStr">
        <is>
          <t>Lỗ ở hai tình huống. (1) Nếu ta chuyển sang Biến thể B để bán Outcome: Gross Margin tụt xuống −60,4% và cần tỷ lệ hoàn thành 93,2% mới về 60% — xem khối mở rộng ④ ở 2_Pricing. (2) Nếu chọn Seat: một CSKH có thể đẩy qua 4 hồ sơ mỗi ngày hoặc 40, chi phí biến thiên 10 lần trong khi giá đứng yên — đúng lý do khiến GitHub Copilot phải bỏ mô hình cũ từ 01/06/2026. Với Hybrid, dòng usage đi cùng chiều chi phí còn phí nền gánh phần cố định.</t>
        </is>
      </c>
      <c r="C34" s="112" t="n"/>
      <c r="D34" s="112" t="n"/>
      <c r="E34" s="113" t="n"/>
    </row>
    <row r="36">
      <c r="A36" s="55" t="inlineStr">
        <is>
          <t>KHỐI MỞ RỘNG — ranh giới cần nói rõ</t>
        </is>
      </c>
    </row>
    <row r="37">
      <c r="A37" s="56" t="inlineStr">
        <is>
          <t>Đơn giá hồ sơ KHÔNG phải Outcome pricing</t>
        </is>
      </c>
      <c r="B37" s="57" t="inlineStr">
        <is>
          <t>Nó trông giống, nhưng khác ở chỗ quyết định. Ta tính tiền trên một STATE TRANSITION quan sát được trong hệ thống của chính khách — sếp ví ra quyết định cuối mà không bấm 'yêu cầu điều tra thêm'. Attribution cho việc đó là 100% và ví tự kiểm được. Outcome pricing là tính tiền trên một KPI kinh doanh mà ta NHẬN CÔNG, ví dụ 'ví tiết kiệm được X đồng' — Attribution cho việc đó ta chưa có, vì chưa có holdout. Cùng một cách phân biệt mà Zendesk dùng khi tách contained resolution (không trừ hạn mức) khỏi verified resolution (có trừ).</t>
        </is>
      </c>
    </row>
    <row r="38">
      <c r="A38" s="56" t="inlineStr">
        <is>
          <t>Bài học lấy từ Intercom và Zendesk</t>
        </is>
      </c>
      <c r="B38" s="57" t="inlineStr">
        <is>
          <t>Cả hai bỏ rất nhiều công sức định nghĩa CÁI GÌ ĐƯỢC TÍNH TIỀN, chứ không phải định giá bao nhiêu. Ta sao chép đúng chỗ đó: hồ sơ bị trả về không tính tiền, ca lỗi kỹ thuật không tính tiền, và cửa sổ mở lại lấy nguyên cách Zendesk phân theo kênh. Nếu chọn Outcome mà chưa viết được định nghĩa chặt như vậy thì chưa sẵn sàng bán Outcome.</t>
        </is>
      </c>
    </row>
    <row r="39">
      <c r="A39" s="56" t="inlineStr">
        <is>
          <t>Ta đứng ở đâu so với benchmark</t>
        </is>
      </c>
      <c r="B39" s="57" t="inlineStr">
        <is>
          <t>Ca contained của ta 1.900 ₫ ≈ 0,073 $ — rẻ hơn Fin khoảng 13,5 lần. Không phải bán phá giá mà vì MẪU SỐ khác: chi phí một CSKH Việt Nam cho một ticket là 34.091 ₫ ≈ 1,31 $, còn Fin neo vào chi phí agent tại Mỹ và châu Âu. Hồ sơ điều tra 12.000 ₫ ≈ 0,46 $ cùng vai trò cấu trúc với dòng qualification 9,99 $ của Fin — một đơn vị công việc nặng hơn thì giá cao hơn hẳn đơn vị nhẹ — chỉ khác thang giá theo thị trường.</t>
        </is>
      </c>
    </row>
  </sheetData>
  <mergeCells count="8">
    <mergeCell ref="B31:E31"/>
    <mergeCell ref="B34:E34"/>
    <mergeCell ref="B38:E38"/>
    <mergeCell ref="B33:E33"/>
    <mergeCell ref="B39:E39"/>
    <mergeCell ref="A36:E36"/>
    <mergeCell ref="B37:E37"/>
    <mergeCell ref="B32:E32"/>
  </mergeCells>
  <hyperlinks>
    <hyperlink xmlns:r="http://schemas.openxmlformats.org/officeDocument/2006/relationships" ref="D26" r:id="rId1"/>
    <hyperlink xmlns:r="http://schemas.openxmlformats.org/officeDocument/2006/relationships" ref="D27" r:id="rId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0" customWidth="1" style="43" min="1" max="1"/>
    <col width="20" customWidth="1" style="43" min="2" max="3"/>
    <col width="14" customWidth="1" style="44" min="3" max="3"/>
    <col width="58" customWidth="1" style="43" min="4" max="4"/>
    <col width="20" customWidth="1" style="43" min="5" max="8"/>
  </cols>
  <sheetData>
    <row r="1" ht="24" customHeight="1" s="44">
      <c r="A1" s="45" t="inlineStr">
        <is>
          <t>TAB 4 — CHANNEL FIT &amp; AFFORDABILITY TEST</t>
        </is>
      </c>
      <c r="B1" s="46" t="n"/>
      <c r="C1" s="46" t="n"/>
      <c r="D1" s="46" t="n"/>
      <c r="E1" s="46" t="n"/>
      <c r="F1" s="46" t="n"/>
      <c r="G1" s="46" t="n"/>
      <c r="H1" s="46" t="n"/>
    </row>
    <row r="2" ht="15" customHeight="1" s="44">
      <c r="A2" s="47" t="inlineStr">
        <is>
          <t>Trạm 4. Chọn ĐÚNG 1 kênh cho 90 ngày đầu — và chứng minh bằng số.</t>
        </is>
      </c>
    </row>
    <row r="4" ht="15" customHeight="1" s="44">
      <c r="A4" s="59" t="inlineStr">
        <is>
          <t>A. NGÂN SÁCH CAC — bạn nuôi nổi kênh nào?</t>
        </is>
      </c>
      <c r="B4" s="60" t="n"/>
      <c r="C4" s="60" t="n"/>
      <c r="D4" s="60" t="n"/>
      <c r="E4" s="60" t="n"/>
      <c r="F4" s="60" t="n"/>
      <c r="G4" s="60" t="n"/>
      <c r="H4" s="60" t="n"/>
    </row>
    <row r="5" ht="15" customHeight="1" s="44">
      <c r="A5" s="50" t="inlineStr">
        <is>
          <t>ARPU / tháng ($)</t>
        </is>
      </c>
      <c r="B5" s="78" t="n">
        <v>22002.46153846154</v>
      </c>
      <c r="D5" s="86" t="inlineStr">
        <is>
          <t>Doanh thu một hợp đồng ví hạng trung, lấy từ 2_Pricing khối mở rộng = 572,1tr ₫/tháng.</t>
        </is>
      </c>
    </row>
    <row r="6" ht="15" customHeight="1" s="44">
      <c r="A6" s="50" t="inlineStr">
        <is>
          <t>Gross Margin (từ tab 2_Pricing)</t>
        </is>
      </c>
      <c r="B6" s="93">
        <f>2_Pricing!B21</f>
        <v/>
      </c>
    </row>
    <row r="7" ht="15" customHeight="1" s="44">
      <c r="A7" s="50" t="inlineStr">
        <is>
          <t>Phân khúc (SMB / Mid / Enterprise)</t>
        </is>
      </c>
      <c r="B7" s="63" t="inlineStr">
        <is>
          <t>Enterprise</t>
        </is>
      </c>
      <c r="D7" s="86" t="inlineStr">
        <is>
          <t>Ví điện tử là tổ chức trung gian thanh toán được NHNN cấp phép. Mua hàng qua Procurement + InfoSec + Legal, chu kỳ 6–12 tháng.</t>
        </is>
      </c>
    </row>
    <row r="8" ht="15" customHeight="1" s="44">
      <c r="A8" s="50" t="inlineStr">
        <is>
          <t>→ CAC payback cho phép (tháng)</t>
        </is>
      </c>
      <c r="B8" s="66">
        <f>IF(B7="SMB",12,IF(B7="Mid",18,24))</f>
        <v/>
      </c>
      <c r="C8" s="47" t="inlineStr">
        <is>
          <t>tháng</t>
        </is>
      </c>
      <c r="D8" s="47" t="inlineStr">
        <is>
          <t>Bessemer, Scaling to $100M (2024)</t>
        </is>
      </c>
    </row>
    <row r="9" ht="15" customHeight="1" s="44">
      <c r="A9" s="54" t="inlineStr">
        <is>
          <t>★ NGÂN SÁCH CAC / khách</t>
        </is>
      </c>
      <c r="B9" s="98">
        <f>B5*B6*B8</f>
        <v/>
      </c>
      <c r="D9" s="47" t="inlineStr">
        <is>
          <t>ARPU × GM × số tháng payback</t>
        </is>
      </c>
    </row>
    <row r="10" ht="15" customHeight="1" s="44">
      <c r="A10" s="50" t="inlineStr">
        <is>
          <t>→ ACV (giá trị hợp đồng / năm)</t>
        </is>
      </c>
      <c r="B10" s="99">
        <f>B5*12</f>
        <v/>
      </c>
    </row>
    <row r="12" ht="15" customHeight="1" s="44">
      <c r="A12" s="59" t="inlineStr">
        <is>
          <t>B. SALES VIABILITY — một AE phải chốt bao nhiêu deal?</t>
        </is>
      </c>
      <c r="B12" s="60" t="n"/>
      <c r="C12" s="60" t="n"/>
      <c r="D12" s="60" t="n"/>
      <c r="E12" s="60" t="n"/>
      <c r="F12" s="60" t="n"/>
      <c r="G12" s="60" t="n"/>
      <c r="H12" s="60" t="n"/>
    </row>
    <row r="13" ht="15" customHeight="1" s="44">
      <c r="A13" s="50" t="inlineStr">
        <is>
          <t>Quota / AE / năm ($)</t>
        </is>
      </c>
      <c r="B13" s="78" t="n">
        <v>80769.23076923077</v>
      </c>
      <c r="D13" s="86" t="inlineStr">
        <is>
          <t>KHÔNG dùng 500.000 $ của Tunguz — đó là quota thị trường Mỹ. Số Việt Nam: 1 AE fully-loaded 35tr ₫/tháng = 16.154 $/năm, quota = 5× chi phí AE.</t>
        </is>
      </c>
    </row>
    <row r="14" ht="15" customHeight="1" s="44">
      <c r="A14" s="50" t="inlineStr">
        <is>
          <t>Số ngày làm việc / năm</t>
        </is>
      </c>
      <c r="B14" s="64" t="n">
        <v>250</v>
      </c>
      <c r="C14" s="47" t="inlineStr">
        <is>
          <t>ngày</t>
        </is>
      </c>
    </row>
    <row r="15" ht="15" customHeight="1" s="44">
      <c r="A15" s="50" t="inlineStr">
        <is>
          <t>→ Số deal / AE / năm</t>
        </is>
      </c>
      <c r="B15" s="66">
        <f>IF(B10=0,0,B13/B10)</f>
        <v/>
      </c>
    </row>
    <row r="16" ht="15" customHeight="1" s="44">
      <c r="A16" s="54" t="inlineStr">
        <is>
          <t>★ Số deal / AE / NGÀY</t>
        </is>
      </c>
      <c r="B16" s="100">
        <f>IF(B14=0,0,B15/B14)</f>
        <v/>
      </c>
      <c r="C16" s="47" t="inlineStr">
        <is>
          <t>deal/ngày</t>
        </is>
      </c>
    </row>
    <row r="17" ht="15" customHeight="1" s="44">
      <c r="A17" s="50" t="inlineStr">
        <is>
          <t>→ Kết luận Sales-Led</t>
        </is>
      </c>
      <c r="B17" s="51">
        <f>IF(B16&lt;=1,"KHẢ THI về mặt số học","BẤT KHẢ THI — ACV quá thấp để nuôi sales rep")</f>
        <v/>
      </c>
    </row>
    <row r="19" ht="15" customHeight="1" s="44">
      <c r="A19" s="59" t="inlineStr">
        <is>
          <t>C. ĐỐI CHIẾU CAC THỰC TẾ CỦA MOTION CÓ SALES</t>
        </is>
      </c>
      <c r="B19" s="60" t="n"/>
      <c r="C19" s="60" t="n"/>
      <c r="D19" s="60" t="n"/>
      <c r="E19" s="60" t="n"/>
      <c r="F19" s="60" t="n"/>
      <c r="G19" s="60" t="n"/>
      <c r="H19" s="60" t="n"/>
    </row>
    <row r="20" ht="15" customHeight="1" s="44">
      <c r="A20" s="50" t="inlineStr">
        <is>
          <t>Cost per opportunity ($)</t>
        </is>
      </c>
      <c r="B20" s="78" t="n">
        <v>11200</v>
      </c>
      <c r="D20" s="86" t="inlineStr">
        <is>
          <t>ICONIQ, The State of GTM in 2026, tr.22 — mức Enterprise.</t>
        </is>
      </c>
    </row>
    <row r="21" ht="15" customHeight="1" s="44">
      <c r="A21" s="50" t="inlineStr">
        <is>
          <t>Win rate</t>
        </is>
      </c>
      <c r="B21" s="77" t="n">
        <v>0.25</v>
      </c>
    </row>
    <row r="22" ht="15" customHeight="1" s="44">
      <c r="A22" s="50" t="inlineStr">
        <is>
          <t>→ CAC thực tế ước tính / khách</t>
        </is>
      </c>
      <c r="B22" s="99">
        <f>IF(B21=0,0,B20/B21)</f>
        <v/>
      </c>
    </row>
    <row r="23" ht="15" customHeight="1" s="44">
      <c r="A23" s="54" t="inlineStr">
        <is>
          <t>★ Lệch bao nhiêu lần so với ngân sách CAC?</t>
        </is>
      </c>
      <c r="B23" s="101">
        <f>IF(B9=0,0,B22/B9)</f>
        <v/>
      </c>
      <c r="D23" s="47" t="inlineStr">
        <is>
          <t>Đây là bằng chứng chọn kênh của bạn</t>
        </is>
      </c>
    </row>
    <row r="24" ht="15" customHeight="1" s="44">
      <c r="A24" s="50" t="inlineStr">
        <is>
          <t>→ Kết luận</t>
        </is>
      </c>
      <c r="B24" s="51">
        <f>IF(B23&lt;=1,"Motion có sales KHẢ THI",IF(B23&lt;=3,"Căng — cần tăng giá hoặc giảm chi phí bán hàng","KHÔNG KHẢ THI — đi PLG hoặc Partner-Led"))</f>
        <v/>
      </c>
    </row>
    <row r="26" ht="15" customHeight="1" s="44">
      <c r="A26" s="59" t="inlineStr">
        <is>
          <t>D. CHẤM ĐIỂM 3 KÊNH (1 = rất kém, 5 = rất tốt)</t>
        </is>
      </c>
      <c r="B26" s="60" t="n"/>
      <c r="C26" s="60" t="n"/>
      <c r="D26" s="60" t="n"/>
      <c r="E26" s="60" t="n"/>
      <c r="F26" s="60" t="n"/>
      <c r="G26" s="60" t="n"/>
      <c r="H26" s="60" t="n"/>
    </row>
    <row r="27" ht="15" customHeight="1" s="44">
      <c r="A27" s="94" t="inlineStr">
        <is>
          <t>Tiêu chí</t>
        </is>
      </c>
      <c r="B27" s="94" t="inlineStr">
        <is>
          <t>PLG</t>
        </is>
      </c>
      <c r="C27" s="94" t="inlineStr">
        <is>
          <t>Sales-Led</t>
        </is>
      </c>
      <c r="D27" s="94" t="inlineStr">
        <is>
          <t>Partner-Led</t>
        </is>
      </c>
    </row>
    <row r="28" ht="15" customHeight="1" s="44">
      <c r="A28" s="50" t="inlineStr">
        <is>
          <t>1. Ngân sách CAC của tôi nuôi nổi kênh này</t>
        </is>
      </c>
      <c r="B28" s="63" t="n">
        <v>5</v>
      </c>
      <c r="C28" s="63" t="n">
        <v>5</v>
      </c>
      <c r="D28" s="63" t="n">
        <v>4</v>
      </c>
    </row>
    <row r="29" ht="15" customHeight="1" s="44">
      <c r="A29" s="50" t="inlineStr">
        <is>
          <t>2. Khách hàng mục tiêu thực sự mua theo cách này</t>
        </is>
      </c>
      <c r="B29" s="63" t="n">
        <v>1</v>
      </c>
      <c r="C29" s="63" t="n">
        <v>5</v>
      </c>
      <c r="D29" s="63" t="n">
        <v>3</v>
      </c>
    </row>
    <row r="30" ht="15" customHeight="1" s="44">
      <c r="A30" s="50" t="inlineStr">
        <is>
          <t>3. Đội hiện tại có năng lực chạy kênh này ngay</t>
        </is>
      </c>
      <c r="B30" s="63" t="n">
        <v>2</v>
      </c>
      <c r="C30" s="63" t="n">
        <v>4</v>
      </c>
      <c r="D30" s="63" t="n">
        <v>2</v>
      </c>
    </row>
    <row r="31" ht="15" customHeight="1" s="44">
      <c r="A31" s="50" t="inlineStr">
        <is>
          <t>4. Tôi tiếp cận được điểm nhúng / partner trong 30 ngày</t>
        </is>
      </c>
      <c r="B31" s="63" t="n">
        <v>1</v>
      </c>
      <c r="C31" s="63" t="n">
        <v>4</v>
      </c>
      <c r="D31" s="63" t="n">
        <v>1</v>
      </c>
    </row>
    <row r="32" ht="15" customHeight="1" s="44">
      <c r="A32" s="50" t="inlineStr">
        <is>
          <t>5. Kênh này đưa tôi đến ĐÚNG Pain Moment</t>
        </is>
      </c>
      <c r="B32" s="63" t="n">
        <v>2</v>
      </c>
      <c r="C32" s="63" t="n">
        <v>5</v>
      </c>
      <c r="D32" s="63" t="n">
        <v>3</v>
      </c>
    </row>
    <row r="33" ht="15" customHeight="1" s="44">
      <c r="A33" s="50" t="inlineStr">
        <is>
          <t>6. Tôi đo được hiệu quả trong vòng 90 ngày</t>
        </is>
      </c>
      <c r="B33" s="63" t="n">
        <v>4</v>
      </c>
      <c r="C33" s="63" t="n">
        <v>4</v>
      </c>
      <c r="D33" s="63" t="n">
        <v>1</v>
      </c>
    </row>
    <row r="34" ht="15" customHeight="1" s="44">
      <c r="A34" s="54" t="inlineStr">
        <is>
          <t>→ TỔNG ĐIỂM</t>
        </is>
      </c>
      <c r="B34" s="97">
        <f>SUM(B28:B33)</f>
        <v/>
      </c>
      <c r="C34" s="97">
        <f>SUM(C28:C33)</f>
        <v/>
      </c>
      <c r="D34" s="97">
        <f>SUM(D28:D33)</f>
        <v/>
      </c>
    </row>
    <row r="35" ht="15" customHeight="1" s="44">
      <c r="A35" s="54" t="inlineStr">
        <is>
          <t>→ Kênh điểm cao nhất</t>
        </is>
      </c>
      <c r="B35" s="97">
        <f>IF(AND(B34&gt;=C34,B34&gt;=D34),"PLG",IF(C34&gt;=D34,"Sales-Led","Partner-Led"))</f>
        <v/>
      </c>
    </row>
    <row r="37" ht="15" customHeight="1" s="44">
      <c r="A37" s="59" t="inlineStr">
        <is>
          <t>E. CHỐT KÊNH</t>
        </is>
      </c>
      <c r="B37" s="60" t="n"/>
      <c r="C37" s="60" t="n"/>
      <c r="D37" s="60" t="n"/>
      <c r="E37" s="60" t="n"/>
      <c r="F37" s="60" t="n"/>
      <c r="G37" s="60" t="n"/>
      <c r="H37" s="60" t="n"/>
    </row>
    <row r="38" ht="15" customHeight="1" s="44">
      <c r="A38" s="50" t="inlineStr">
        <is>
          <t>★ Kênh tôi chọn cho 90 ngày đầu</t>
        </is>
      </c>
      <c r="B38" s="49" t="inlineStr">
        <is>
          <t>Sales-Led</t>
        </is>
      </c>
      <c r="D38" s="86" t="inlineStr">
        <is>
          <t>Đúng một kênh. 90 ngày, đội 6 người — chỉ đủ sức làm sâu một kênh.</t>
        </is>
      </c>
    </row>
    <row r="39" ht="44" customHeight="1" s="44">
      <c r="A39" s="50" t="inlineStr">
        <is>
          <t>Nếu Partner-Led: TÊN CÔNG TY partner</t>
        </is>
      </c>
      <c r="B39" s="61" t="inlineStr">
        <is>
          <t>KHÔNG chọn Partner-Led cho 90 ngày. Ứng viên cho giai đoạn sau: NAPAS · FPT IS · Viettel Solutions.</t>
        </is>
      </c>
      <c r="C39" s="112" t="n"/>
      <c r="D39" s="112" t="n"/>
      <c r="E39" s="113" t="n"/>
    </row>
    <row r="40" ht="44" customHeight="1" s="44">
      <c r="A40" s="50" t="inlineStr">
        <is>
          <t>Đã nói chuyện với họ chưa? (Rồi / Chưa)</t>
        </is>
      </c>
      <c r="B40" s="61" t="inlineStr">
        <is>
          <t>Chưa — và trong 90 ngày tới cũng KHÔNG có đường tiếp cận thật.</t>
        </is>
      </c>
      <c r="C40" s="112" t="n"/>
      <c r="D40" s="112" t="n"/>
      <c r="E40" s="113" t="n"/>
    </row>
    <row r="41" ht="44" customHeight="1" s="44">
      <c r="A41" s="50" t="inlineStr">
        <is>
          <t>Bạn mang lại giá trị gì cho partner?</t>
        </is>
      </c>
      <c r="B41" s="61" t="inlineStr">
        <is>
          <t>Với NAPAS: mọi khiếu nại 'chạm ngân hàng' đều đi qua quy trình tra soát của họ, nên một công cụ chuẩn hoá hồ sơ điều tra ở đầu vào sẽ giảm tải tra soát cho chính họ. Với một SI: doanh thu triển khai và một mảnh ghép AI cho danh mục fintech sẵn có. Cả hai đều mới là giả thuyết.</t>
        </is>
      </c>
      <c r="C41" s="112" t="n"/>
      <c r="D41" s="112" t="n"/>
      <c r="E41" s="113" t="n"/>
    </row>
    <row r="42" ht="44" customHeight="1" s="44">
      <c r="A42" s="50" t="inlineStr">
        <is>
          <t>Nếu rơi vào vùng không khả thi — lối thoát nào?</t>
        </is>
      </c>
      <c r="B42" s="61" t="inlineStr">
        <is>
          <t>Không rơi vào vùng không khả thi: CAC thực tế chỉ bằng 11,5% ngân sách CAC. Lối thoát ở đây không dùng đến — ràng buộc của WalletCare là TAM khoảng 40 ví, không phải khả năng nuôi kênh.</t>
        </is>
      </c>
      <c r="C42" s="112" t="n"/>
      <c r="D42" s="112" t="n"/>
      <c r="E42" s="113" t="n"/>
    </row>
    <row r="44">
      <c r="A44" s="55" t="inlineStr">
        <is>
          <t>KHỐI MỞ RỘNG — giải trình chọn kênh</t>
        </is>
      </c>
    </row>
    <row r="45">
      <c r="A45" s="56" t="inlineStr">
        <is>
          <t>Đọc kỹ ô B16 trước khi mừng</t>
        </is>
      </c>
      <c r="B45" s="57" t="inlineStr">
        <is>
          <t>0,0012 deal mỗi ngày nghĩa là một AE chỉ cần chốt 0,31 hợp đồng mỗi năm để đạt quota — một hợp đồng trả xong hơn ba năm quota. Nên ràng buộc thật của WalletCare KHÔNG phải năng suất bán hàng mà là TAM khoảng 40 ví đang hoạt động tại Việt Nam, cộng chu kỳ mua fintech 6–12 tháng. Đây là bài toán phủ tài khoản, không phải bài toán thông lượng. Số học chỉ nói kênh này nuôi được; nó không nói kênh này dễ.</t>
        </is>
      </c>
    </row>
    <row r="46">
      <c r="A46" s="56" t="inlineStr">
        <is>
          <t>PLG — loại vì lý do CẤU TRÚC, không phải vì kém hiệu quả</t>
        </is>
      </c>
      <c r="B46" s="57" t="inlineStr">
        <is>
          <t>Không ví nào cho một tài khoản tự đăng ký đọc sổ cái giao dịch của khách hàng họ. Kết nối MCP vào hệ thống ví bắt buộc đi qua hợp đồng, thẩm định an ninh và rà soát pháp lý theo Nghị định 52/2024 và Thông tư 40/2024. Ở đây PLG không chậm — nó bất khả thi.</t>
        </is>
      </c>
    </row>
    <row r="47">
      <c r="A47" s="56" t="inlineStr">
        <is>
          <t>Partner-Led — vì sao KHÔNG nằm trong 90 ngày</t>
        </is>
      </c>
      <c r="B47" s="57" t="inlineStr">
        <is>
          <t>Không phải vì kém hấp dẫn mà vì đội không có đường tiếp cận thật. NAPAS là đơn vị vận hành hạ tầng chuyển mạch tài chính quốc gia; một nhóm sáu người chưa có khách trả tiền không đặt được lịch với ban hợp tác của họ, và các nhà tích hợp lớn cũng vậy. Viết 'xin lịch gặp NAPAS trong 2 tuần' vào kế hoạch là tự lừa mình — một bước chỉ được tính là bước nếu đội có đường thực hiện nó ngay tuần này.</t>
        </is>
      </c>
    </row>
    <row r="48">
      <c r="A48" s="56" t="inlineStr">
        <is>
          <t>Phép phủ định KHẢ THI — tốn một tin nhắn, không tốn một chiến dịch</t>
        </is>
      </c>
      <c r="B48" s="57" t="inlineStr">
        <is>
          <t>Dùng quan hệ đã có: hỏi đầu mối ZaloPay đúng một câu — 'khi ví chọn nhà cung cấp cho khâu tra soát khiếu nại, các anh có bao giờ mua qua giới thiệu của NAPAS hoặc của một nhà tích hợp không, hay luôn mua thẳng?'. Nếu câu trả lời là 'luôn mua thẳng' thì Partner-Led chết ngay, không cần theo đuổi ở tháng 6–12. Nếu là 'có', ta biết mình cần bằng chứng gì để mở cửa đó — và bằng chứng ấy chính là Pilot Report.</t>
        </is>
      </c>
    </row>
    <row r="49">
      <c r="A49" s="56" t="inlineStr">
        <is>
          <t>Quan hệ đã có — nói đúng mức, không thổi phồng</t>
        </is>
      </c>
      <c r="B49" s="57" t="inlineStr">
        <is>
          <t>ZaloPay: PO của nhóm đã gặp 2 lần để lấy góc nhìn nghiệp vụ và phản hồi cho demo (Brief §mở đầu). Đây CHƯA phải một cuộc nói chuyện thương mại, chưa có người mua được xác định, chưa có ngân sách. Việc của 90 ngày tới là chuyển từ quan hệ góp ý sang một cuộc gặp có mặt trưởng bộ phận CSKH.</t>
        </is>
      </c>
    </row>
    <row r="50">
      <c r="A50" s="56" t="inlineStr">
        <is>
          <t>Một đính chính mang sang từ Day 24</t>
        </is>
      </c>
      <c r="B50" s="57" t="inlineStr">
        <is>
          <t>Day 24 giả định CAC 300tr ₫. Đối chiếu benchmark ICONIQ (cost per opportunity 11.200 $, win rate 25%) cho CAC thực tế khoảng 1,16 tỷ ₫ — Day 24 thấp hơn thực tế khoảng 3,9 lần. Kể cả sau đính chính, LTV/CAC vẫn 18,1 lần và CAC payback 2,76 tháng, nên kết luận về sức khoẻ kênh không đổi; nhưng con số thì phải đúng.</t>
        </is>
      </c>
    </row>
  </sheetData>
  <mergeCells count="11">
    <mergeCell ref="B45:E45"/>
    <mergeCell ref="B40:E40"/>
    <mergeCell ref="B41:E41"/>
    <mergeCell ref="B49:E49"/>
    <mergeCell ref="B50:E50"/>
    <mergeCell ref="B48:E48"/>
    <mergeCell ref="B39:E39"/>
    <mergeCell ref="B47:E47"/>
    <mergeCell ref="A44:E44"/>
    <mergeCell ref="B42:E42"/>
    <mergeCell ref="B46:E46"/>
  </mergeCells>
  <dataValidations count="1">
    <dataValidation sqref="B7" showDropDown="0" showInputMessage="0" showErrorMessage="0" allowBlank="0" type="list" errorStyle="stop" operator="between">
      <formula1>"SMB,Mid,Enterprise"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43" min="1" max="1"/>
    <col width="46" customWidth="1" style="43" min="2" max="4"/>
    <col width="46" customWidth="1" style="44" min="3" max="3"/>
    <col width="46" customWidth="1" style="44" min="4" max="4"/>
    <col width="20" customWidth="1" style="43" min="5" max="8"/>
  </cols>
  <sheetData>
    <row r="1" ht="24" customHeight="1" s="44">
      <c r="A1" s="45" t="inlineStr">
        <is>
          <t>TAB 5 — PAIN MOMENT · 90-DAY PLAN · EVIDENCE PACK</t>
        </is>
      </c>
      <c r="B1" s="46" t="n"/>
      <c r="C1" s="46" t="n"/>
      <c r="D1" s="46" t="n"/>
      <c r="E1" s="46" t="n"/>
      <c r="F1" s="46" t="n"/>
      <c r="G1" s="46" t="n"/>
      <c r="H1" s="46" t="n"/>
    </row>
    <row r="2" ht="15" customHeight="1" s="44">
      <c r="A2" s="47" t="inlineStr">
        <is>
          <t>Trạm 5 và Trạm 6.</t>
        </is>
      </c>
    </row>
    <row r="4" ht="15" customHeight="1" s="44">
      <c r="A4" s="59" t="inlineStr">
        <is>
          <t>A. PAIN MOMENT — phải đủ 3 phần</t>
        </is>
      </c>
      <c r="B4" s="60" t="n"/>
      <c r="C4" s="60" t="n"/>
      <c r="D4" s="60" t="n"/>
      <c r="E4" s="60" t="n"/>
      <c r="F4" s="60" t="n"/>
      <c r="G4" s="60" t="n"/>
      <c r="H4" s="60" t="n"/>
    </row>
    <row r="5" ht="44" customHeight="1" s="44">
      <c r="A5" s="50" t="inlineStr">
        <is>
          <t>MẤY GIỜ khách đau nhất?</t>
        </is>
      </c>
      <c r="B5" s="61" t="inlineStr">
        <is>
          <t>9h40 sáng thứ Hai — hàng chờ khiếu nại tồn từ cuối tuần vừa đổ về, khoảng 180 ticket.</t>
        </is>
      </c>
      <c r="C5" s="112" t="n"/>
      <c r="D5" s="112" t="n"/>
      <c r="E5" s="113" t="n"/>
    </row>
    <row r="6" ht="44" customHeight="1" s="44">
      <c r="A6" s="50" t="inlineStr">
        <is>
          <t>Lúc đó họ ĐANG LÀM GÌ?</t>
        </is>
      </c>
      <c r="B6" s="61" t="inlineStr">
        <is>
          <t>Ngân, CSKH tuyến 1, vừa bị sếp trả về một hồ sơ với lý do 'thiếu căn cứ'. Vòng thứ hai tốn thêm khoảng 40 phút điều tra lại và một cuộc gọi lại khách, trong khi SLA tra soát vẫn đang chạy.</t>
        </is>
      </c>
      <c r="C6" s="112" t="n"/>
      <c r="D6" s="112" t="n"/>
      <c r="E6" s="113" t="n"/>
    </row>
    <row r="7" ht="44" customHeight="1" s="44">
      <c r="A7" s="50" t="inlineStr">
        <is>
          <t>Họ đang DÙNG APP / KÊNH NÀO?</t>
        </is>
      </c>
      <c r="B7" s="61" t="inlineStr">
        <is>
          <t>Màn hình chi tiết ticket trong công cụ CSKH nội bộ của ví, mở song song một tab đối soát giao dịch. Không phải trình duyệt rảnh, không phải một web app khác.</t>
        </is>
      </c>
      <c r="C7" s="112" t="n"/>
      <c r="D7" s="112" t="n"/>
      <c r="E7" s="113" t="n"/>
    </row>
    <row r="8" ht="44" customHeight="1" s="44">
      <c r="A8" s="50" t="inlineStr">
        <is>
          <t>→ Điểm nhúng cụ thể của bạn</t>
        </is>
      </c>
      <c r="B8" s="61" t="inlineStr">
        <is>
          <t>Ba bề mặt, không cái nào là website riêng: (1) connector MCP/API đọc hệ thống giao dịch của ví — khái niệm 'co_vi' đã có sẵn trong mã nguồn; (2) panel dựng ngay trong màn hình chi tiết ticket của ví, ghi ngược vào máy trạng thái ticket của họ; (3) widget chat trong chính app ví cho lớp A. Ngân không mở thêm tab nào.</t>
        </is>
      </c>
      <c r="C8" s="112" t="n"/>
      <c r="D8" s="112" t="n"/>
      <c r="E8" s="113" t="n"/>
    </row>
    <row r="10" ht="15" customHeight="1" s="44">
      <c r="A10" s="59" t="inlineStr">
        <is>
          <t>B. 90-DAY PLAN</t>
        </is>
      </c>
      <c r="B10" s="60" t="n"/>
      <c r="C10" s="60" t="n"/>
      <c r="D10" s="60" t="n"/>
      <c r="E10" s="60" t="n"/>
      <c r="F10" s="60" t="n"/>
      <c r="G10" s="60" t="n"/>
      <c r="H10" s="60" t="n"/>
    </row>
    <row r="11" ht="15" customHeight="1" s="44">
      <c r="A11" s="94" t="n"/>
      <c r="B11" s="94" t="inlineStr">
        <is>
          <t>THÁNG 1 — Học</t>
        </is>
      </c>
      <c r="C11" s="94" t="inlineStr">
        <is>
          <t>THÁNG 2–3 — Đòn bẩy</t>
        </is>
      </c>
      <c r="D11" s="94" t="inlineStr">
        <is>
          <t>THÁNG 4+ — Mở rộng</t>
        </is>
      </c>
    </row>
    <row r="12" ht="64" customHeight="1" s="44">
      <c r="A12" s="50" t="inlineStr">
        <is>
          <t>Kênh sử dụng</t>
        </is>
      </c>
      <c r="B12" s="114" t="inlineStr">
        <is>
          <t>Sales-Led — nhưng KHÔNG bán</t>
        </is>
      </c>
      <c r="C12" s="114" t="inlineStr">
        <is>
          <t>Sales-Led</t>
        </is>
      </c>
      <c r="D12" s="114" t="inlineStr">
        <is>
          <t>Sales-Led; chỉ xét Partner-Led sau khi có Pilot Report</t>
        </is>
      </c>
    </row>
    <row r="13" ht="64" customHeight="1" s="44">
      <c r="A13" s="50" t="inlineStr">
        <is>
          <t>Mục tiêu số khách</t>
        </is>
      </c>
      <c r="B13" s="114" t="inlineStr">
        <is>
          <t>0 hợp đồng ký — cố ý</t>
        </is>
      </c>
      <c r="C13" s="114" t="inlineStr">
        <is>
          <t>1 ví chạy pilot có thoả thuận</t>
        </is>
      </c>
      <c r="D13" s="114" t="inlineStr">
        <is>
          <t>Ví thứ hai ký hợp đồng</t>
        </is>
      </c>
    </row>
    <row r="14" ht="64" customHeight="1" s="44">
      <c r="A14" s="50" t="inlineStr">
        <is>
          <t>Việc cụ thể 1</t>
        </is>
      </c>
      <c r="B14" s="114" t="inlineStr">
        <is>
          <t>Viết runner T3/T4/T5 để report.md thôi trống</t>
        </is>
      </c>
      <c r="C14" s="114" t="inlineStr">
        <is>
          <t>4 tuần shadow: agent chạy nhưng không hiện với khách, so kết quả với quyết định thật của người</t>
        </is>
      </c>
      <c r="D14" s="114" t="inlineStr">
        <is>
          <t>Mở ngách tiếp theo: công ty tài chính tiêu dùng — cùng loại khiếu nại, cùng khung pháp lý</t>
        </is>
      </c>
    </row>
    <row r="15" ht="64" customHeight="1" s="44">
      <c r="A15" s="50" t="inlineStr">
        <is>
          <t>Việc cụ thể 2</t>
        </is>
      </c>
      <c r="B15" s="114" t="inlineStr">
        <is>
          <t>Xử lý nguyên nhân hệ thống: seed business_config, sửa định tuyến skill để agent mở hồ sơ</t>
        </is>
      </c>
      <c r="C15" s="114" t="inlineStr">
        <is>
          <t>4 tuần live trên lớp A, giữ lớp B ở chế độ hỗ trợ CSKH</t>
        </is>
      </c>
      <c r="D15" s="114" t="inlineStr">
        <is>
          <t>Chuẩn hoá gói triển khai để rút thời gian tích hợp mỗi ví</t>
        </is>
      </c>
    </row>
    <row r="16" ht="64" customHeight="1" s="44">
      <c r="A16" s="50" t="inlineStr">
        <is>
          <t>Việc cụ thể 3</t>
        </is>
      </c>
      <c r="B16" s="114" t="inlineStr">
        <is>
          <t>Đo mix ba lớp ca trên lưu lượng thật để thay giả định 62/26/12</t>
        </is>
      </c>
      <c r="C16" s="114" t="inlineStr">
        <is>
          <t>5 tài khoản đích cho kênh Sales-Led; hỏi đầu mối ZaloPay câu phủ định Partner-Led</t>
        </is>
      </c>
      <c r="D16" s="114" t="inlineStr">
        <is>
          <t>Chỉ mở rộng khi điều kiện tháng 4 đạt — nhị phân, không thương lượng</t>
        </is>
      </c>
    </row>
    <row r="17" ht="64" customHeight="1" s="44">
      <c r="A17" s="50" t="inlineStr">
        <is>
          <t>KPI đo được</t>
        </is>
      </c>
      <c r="B17" s="114" t="inlineStr">
        <is>
          <t>missed_expected_ticket 96/97 → ≤10/97 · blocking clean_rate 94,83% → 100% · PDPA phone leak 4 ca → 0 · tools_required_satisfied 21,55% → ≥70%</t>
        </is>
      </c>
      <c r="C17" s="114" t="inlineStr">
        <is>
          <t>Tỷ lệ hồ sơ duyệt-lần-đầu ≥ 43,26% (ngưỡng sống ở 2_Pricing khối ⑤) · Cost/Job ≤ 0,065 $ · lao động người ≤ 55% chi phí · 2 cuộc gặp cấp trưởng bộ phận CSKH</t>
        </is>
      </c>
      <c r="D17" s="114" t="inlineStr">
        <is>
          <t>Một ví đạt tỷ lệ hoàn thành ≥ 68% ba tháng LIÊN TIẾP và có Pilot Report được khách xác nhận</t>
        </is>
      </c>
    </row>
    <row r="18" ht="64" customHeight="1" s="44">
      <c r="A18" s="50" t="inlineStr">
        <is>
          <t>Người chịu trách nhiệm</t>
        </is>
      </c>
      <c r="B18" s="114" t="inlineStr">
        <is>
          <t>Lê Quang Huy (PM) — eval và điều phối · Engineer 1 — seed config và định tuyến</t>
        </is>
      </c>
      <c r="C18" s="114" t="inlineStr">
        <is>
          <t>Lê Quang Huy — báo cáo pilot · Engineer 2 — connector MCP và panel trong console ví · AE — tài khoản đích</t>
        </is>
      </c>
      <c r="D18" s="114" t="inlineStr">
        <is>
          <t>Cả nhóm</t>
        </is>
      </c>
    </row>
    <row r="19" ht="15" customHeight="1" s="44">
      <c r="A19" s="47" t="inlineStr">
        <is>
          <t>Tháng 1 là giai đoạn HỌC, không phải scale. Kế hoạch 'tháng 1 lấy 200 khách ở 5 ngành' là kế hoạch chưa ai từng thử làm.</t>
        </is>
      </c>
    </row>
    <row r="21" ht="15" customHeight="1" s="44">
      <c r="A21" s="59" t="inlineStr">
        <is>
          <t>C. EVIDENCE PACK — 3 tài sản bán hàng</t>
        </is>
      </c>
      <c r="B21" s="60" t="n"/>
      <c r="C21" s="60" t="n"/>
      <c r="D21" s="60" t="n"/>
      <c r="E21" s="60" t="n"/>
      <c r="F21" s="60" t="n"/>
      <c r="G21" s="60" t="n"/>
      <c r="H21" s="60" t="n"/>
    </row>
    <row r="22" ht="15" customHeight="1" s="44">
      <c r="A22" s="94" t="inlineStr">
        <is>
          <t>Tài sản</t>
        </is>
      </c>
      <c r="B22" s="94" t="inlineStr">
        <is>
          <t>Đã có? (Rồi/Chưa)</t>
        </is>
      </c>
      <c r="C22" s="94" t="inlineStr">
        <is>
          <t>Nội dung 1 câu — hoặc việc cần làm</t>
        </is>
      </c>
      <c r="D22" s="94" t="inlineStr">
        <is>
          <t>Người phụ trách · Deadline</t>
        </is>
      </c>
    </row>
    <row r="23" ht="84" customHeight="1" s="44">
      <c r="A23" s="50" t="inlineStr">
        <is>
          <t>1. Eval Results (Day 21–22)</t>
        </is>
      </c>
      <c r="B23" s="114" t="inlineStr">
        <is>
          <t>Một phần</t>
        </is>
      </c>
      <c r="C23" s="114" t="inlineStr">
        <is>
          <t>CÓ: golden 118 ca + held-out 49 ca, harness chạy lại được, thẻ điểm 3 mức, và từ 26/08/2026 mỗi file chấm mang provenance (commit 10d30e5 + sha256 của bộ chấm, file run, bộ đáp án, dataset). hitl_ticket_without_confirm = 0 và lần này quan sát được thật. THIẾU: report.md vẫn trống · chưa chấm held-out · blocking 94,83% chưa đạt ngưỡng 0 vi phạm · chưa đo resolution nên chưa có số cho containment lớp A.</t>
        </is>
      </c>
      <c r="D23" s="114" t="inlineStr">
        <is>
          <t>Lê Quang Huy · 30/09/2026</t>
        </is>
      </c>
    </row>
    <row r="24" ht="84" customHeight="1" s="44">
      <c r="A24" s="50" t="inlineStr">
        <is>
          <t>2. Risk Checklist (Day 24)</t>
        </is>
      </c>
      <c r="B24" s="114" t="inlineStr">
        <is>
          <t>Chưa</t>
        </is>
      </c>
      <c r="C24" s="114" t="inlineStr">
        <is>
          <t>CÓ NGUYÊN LIỆU nhưng chưa có bản cho sản phẩm này: bản Day 22 làm trên TriageMate (y tế) nên không dùng lại được. Sẵn có: 6 ràng buộc bắt buộc ở Brief §7, 6 rào cứng trong mã nguồn (grounding · leak · money · claim · input · spending guard), Nghị định 52/2024, Thông tư 40/2024, Nghị định 13/2023. THIẾU: văn bản trả lời ba câu Procurement, DPA mẫu; chưa có SOC 2 và sẽ chưa có trong 12 tháng tới — nói thẳng chứ không né.</t>
        </is>
      </c>
      <c r="D24" s="114" t="inlineStr">
        <is>
          <t>Lê Quang Huy · 15/09/2026</t>
        </is>
      </c>
    </row>
    <row r="25" ht="84" customHeight="1" s="44">
      <c r="A25" s="50" t="inlineStr">
        <is>
          <t>3. Pilot Report</t>
        </is>
      </c>
      <c r="B25" s="114" t="inlineStr">
        <is>
          <t>Chưa</t>
        </is>
      </c>
      <c r="C25" s="114" t="inlineStr">
        <is>
          <t>CHƯA CÓ GÌ. Chưa ví nào chạy pilot; ZaloPay mới ở mức góp ý nghiệp vụ cho demo. Thiếu toàn bộ: chưa chọn ví, chưa ký thoả thuận pilot, chưa có baseline thời gian xử lý của ví để so.</t>
        </is>
      </c>
      <c r="D25" s="114" t="inlineStr">
        <is>
          <t>Huy + AE · ký thoả thuận 15/10/2026 · báo cáo 30/11/2026</t>
        </is>
      </c>
    </row>
    <row r="26" ht="15" customHeight="1" s="44">
      <c r="A26" s="47" t="inlineStr">
        <is>
          <t>Ô nào CHƯA CÓ thì ghi deadline — đừng bỏ trống. Thành thật về khoảng trống được điểm cao hơn bịa nội dung.</t>
        </is>
      </c>
    </row>
    <row r="28" ht="15" customHeight="1" s="44">
      <c r="A28" s="59" t="inlineStr">
        <is>
          <t>D. BÀI TEST NGƯỜI LẠ — nhóm khác đọc One-Pager trong 2 phút</t>
        </is>
      </c>
      <c r="B28" s="60" t="n"/>
      <c r="C28" s="60" t="n"/>
      <c r="D28" s="60" t="n"/>
      <c r="E28" s="60" t="n"/>
      <c r="F28" s="60" t="n"/>
      <c r="G28" s="60" t="n"/>
      <c r="H28" s="60" t="n"/>
    </row>
    <row r="29" ht="60" customHeight="1" s="44">
      <c r="A29" s="50" t="inlineStr">
        <is>
          <t>Họ trả lời được: bán gì, cho ai, tính tiền theo đơn vị nào? (Được/Không)</t>
        </is>
      </c>
      <c r="B29" s="61" t="inlineStr">
        <is>
          <t>TỰ KIỂM (chưa test với người ngoài): trả lời được. Khối 1 của One-Pager nói thẳng ngân sách khách là vận hành CSKH của ví, sản phẩm bán cho ví điện tử, và ba dòng giá của mô hình Hybrid.</t>
        </is>
      </c>
      <c r="C29" s="112" t="n"/>
      <c r="D29" s="112" t="n"/>
      <c r="E29" s="113" t="n"/>
    </row>
    <row r="30" ht="60" customHeight="1" s="44">
      <c r="A30" s="50" t="inlineStr">
        <is>
          <t>Họ trả lời được: có lãi trên mỗi đơn vị không, số nào chứng minh? (Được/Không)</t>
        </is>
      </c>
      <c r="B30" s="61" t="inlineStr">
        <is>
          <t>TỰ KIỂM: trả lời được, nhưng đây là chỗ phải đọc lại lần hai — bảng số có tới ba mức (Cost/Job, giá sàn, giá bán) và người đọc dễ nhầm giá sàn với giá bán. Đã đổi cách trình bày: in đậm riêng dòng giá bán và gắn đèn 'NẰM TRONG VÙNG' ngay cạnh.</t>
        </is>
      </c>
      <c r="C30" s="112" t="n"/>
      <c r="D30" s="112" t="n"/>
      <c r="E30" s="113" t="n"/>
    </row>
    <row r="31" ht="60" customHeight="1" s="44">
      <c r="A31" s="50" t="inlineStr">
        <is>
          <t>Họ trả lời được: tiếp cận khách qua đâu, vì sao kênh đó? (Được/Không)</t>
        </is>
      </c>
      <c r="B31" s="61" t="inlineStr">
        <is>
          <t>TỰ KIỂM: trả lời được. Kênh Sales-Led kèm đúng hai con số đối chiếu — ngân sách CAC 389.325 $ so với CAC thực tế 44.800 $.</t>
        </is>
      </c>
      <c r="C31" s="112" t="n"/>
      <c r="D31" s="112" t="n"/>
      <c r="E31" s="113" t="n"/>
    </row>
    <row r="32" ht="60" customHeight="1" s="44">
      <c r="A32" s="50" t="inlineStr">
        <is>
          <t>Số câu họ phải hỏi lại (mục tiêu ≤ 3)</t>
        </is>
      </c>
      <c r="B32" s="115" t="inlineStr">
        <is>
          <t>CHƯA CÓ SỐ THẬT — chưa đưa cho nhóm khác đọc. Tự kiểm tìm ra 2 chỗ phải đọc lại lần hai: (a) phân biệt giá sàn với giá bán ở bảng số; (b) vì sao Gross Margin 73,7% nhưng vẫn kết luận chưa được ký — phải đọc tới khối mở rộng ③ mới thấy đó là hai trạng thái khác nhau (mục tiêu so với đo được). Đã sửa bằng cách đưa phán quyết lên ngay đầu trang. Con số thật của bài test này sẽ điền sau khi có người ngoài đọc; không điền số bịa vào đây.</t>
        </is>
      </c>
      <c r="C32" s="112" t="n"/>
      <c r="D32" s="112" t="n"/>
      <c r="E32" s="113" t="n"/>
    </row>
    <row r="34">
      <c r="A34" s="55" t="inlineStr">
        <is>
          <t>KHỐI MỞ RỘNG</t>
        </is>
      </c>
    </row>
    <row r="35">
      <c r="A35" s="56" t="inlineStr">
        <is>
          <t>Vì sao tháng 1 đặt mục tiêu ký 0 hợp đồng</t>
        </is>
      </c>
      <c r="B35" s="57" t="inlineStr">
        <is>
          <t>Vì bảng giá ở 2_Pricing chỉ đứng được khi tỷ lệ hồ sơ duyệt-lần-đầu vượt 43,26%, và hôm nay nó là 1,03%. Ký hợp đồng trước khi đóng khoảng cách đó là bán một thứ ta biết chắc chưa giao được — và mất luôn tài khoản đó cho lần sau. Trong một TAM chỉ khoảng 40 ví, mất một tài khoản là mất 2,5% thị trường.</t>
        </is>
      </c>
    </row>
    <row r="36">
      <c r="A36" s="56" t="inlineStr">
        <is>
          <t>Cái giá của việc nhúng vào công cụ của khách</t>
        </is>
      </c>
      <c r="B36" s="57" t="inlineStr">
        <is>
          <t>Nhúng nghĩa là ta không sở hữu giao diện, không sở hữu tài khoản người dùng, và mỗi ví lại là một tích hợp riêng. Intercom chấp nhận bỏ hẳn doanh thu seat để nhúng được Fin vào helpdesk bên thứ ba. Ta trả cái giá tương đương bằng chi phí tích hợp — và đó chính là thứ phí nền 130tr ₫ đổi lấy, chứ không phải một khoản phụ thu.</t>
        </is>
      </c>
    </row>
    <row r="37">
      <c r="A37" s="56" t="inlineStr">
        <is>
          <t>Ba câu Procurement — bản trả lời nháp</t>
        </is>
      </c>
      <c r="B37" s="57" t="inlineStr">
        <is>
          <t>AI có bịa không? → AI không bao giờ quyết định về tiền; mọi con số phải trích dẫn về một tool result và grounding guard đối chiếu số agent viết ra với số hệ thống trả về, không đoán ý qua từ ngữ. Ngưỡng là 0; số thật hôm nay 1 vi phạm trên 155 numeric claim — chưa đạt, và chúng tôi báo con số đó thay vì làm tròn. · Data có bị train không? → điều khoản cấm dùng dữ liệu khách để huấn luyện; che định danh trước khi rời hệ thống (leak guard — số thật hôm nay 4 ca lộ số điện thoại trên 116 ca, đang là hạng mục sửa ưu tiên); log giữ 90 ngày mã hoá; bản triển khai trong hạ tầng của ví là lựa chọn có sẵn, vốn là định vị sản phẩm. · Startup chết thì data ở đâu? → hệ thống ghi nhận chính thức vẫn là công cụ CSKH của ví, chúng tôi chỉ là panel cắm vào; kèm API xuất hồ sơ và log kiểm toán ra JSON mở, ký gửi KB và kho cấu hình prompt, hỗ trợ chuyển đổi 90 ngày, và ví tự chạy lại được bộ eval trên môi trường của mình.</t>
        </is>
      </c>
    </row>
  </sheetData>
  <mergeCells count="12">
    <mergeCell ref="B31:E31"/>
    <mergeCell ref="A34:E34"/>
    <mergeCell ref="B8:E8"/>
    <mergeCell ref="B35:E35"/>
    <mergeCell ref="B6:E6"/>
    <mergeCell ref="B30:E30"/>
    <mergeCell ref="B29:E29"/>
    <mergeCell ref="B7:E7"/>
    <mergeCell ref="B5:E5"/>
    <mergeCell ref="B37:E37"/>
    <mergeCell ref="B36:E36"/>
    <mergeCell ref="B32:E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43" min="1" max="1"/>
    <col width="44" customWidth="1" style="43" min="2" max="2"/>
    <col width="42" customWidth="1" style="43" min="3" max="3"/>
    <col width="18" customWidth="1" style="43" min="4" max="4"/>
    <col width="52" customWidth="1" style="43" min="5" max="5"/>
    <col width="15" customWidth="1" style="43" min="6" max="8"/>
  </cols>
  <sheetData>
    <row r="1" ht="24" customHeight="1" s="44">
      <c r="A1" s="45" t="inlineStr">
        <is>
          <t>TAB 6 — BENCHMARKS (CHỈ ĐỌC)</t>
        </is>
      </c>
      <c r="B1" s="46" t="n"/>
      <c r="C1" s="46" t="n"/>
      <c r="D1" s="46" t="n"/>
      <c r="E1" s="46" t="n"/>
      <c r="F1" s="46" t="n"/>
      <c r="G1" s="46" t="n"/>
      <c r="H1" s="46" t="n"/>
    </row>
    <row r="2" ht="15" customHeight="1" s="44">
      <c r="A2" s="47" t="inlineStr">
        <is>
          <t>Giá chốt ngày 26/08/2026. Dòng có ⏳ là GIÁ KHUYẾN MẠI CÓ HẠN — phải kiểm tra lại.</t>
        </is>
      </c>
    </row>
    <row r="3" ht="15" customHeight="1" s="44">
      <c r="A3" s="50" t="inlineStr">
        <is>
          <t>NGÀY BẠN KIỂM TRA LẠI GIÁ</t>
        </is>
      </c>
      <c r="B3" s="49" t="inlineStr">
        <is>
          <t>27/08/2026</t>
        </is>
      </c>
      <c r="C3" t="inlineStr">
        <is>
          <t>Tự mở lại trang gốc của DeepSeek, Anthropic, Intercom Fin và Zendesk.</t>
        </is>
      </c>
      <c r="D3" s="47" t="inlineStr">
        <is>
          <t>Bắt buộc điền — Rubric có chấm mục này</t>
        </is>
      </c>
    </row>
    <row r="5" ht="15" customHeight="1" s="44">
      <c r="A5" s="103" t="inlineStr">
        <is>
          <t>Nhóm</t>
        </is>
      </c>
      <c r="B5" s="103" t="inlineStr">
        <is>
          <t>Mục</t>
        </is>
      </c>
      <c r="C5" s="103" t="inlineStr">
        <is>
          <t>Giá</t>
        </is>
      </c>
      <c r="D5" s="103" t="inlineStr">
        <is>
          <t>Đơn vị</t>
        </is>
      </c>
      <c r="E5" s="103" t="inlineStr">
        <is>
          <t>Nguồn</t>
        </is>
      </c>
    </row>
    <row r="6" ht="15" customHeight="1" s="44">
      <c r="A6" s="104" t="inlineStr">
        <is>
          <t>LLM</t>
        </is>
      </c>
      <c r="B6" s="104" t="inlineStr">
        <is>
          <t>Claude Opus 5 — input / output</t>
        </is>
      </c>
      <c r="C6" s="104" t="inlineStr">
        <is>
          <t>5,00 / 25,00</t>
        </is>
      </c>
      <c r="D6" s="104" t="inlineStr">
        <is>
          <t>$ / 1M token</t>
        </is>
      </c>
      <c r="E6" s="105" t="inlineStr">
        <is>
          <t>platform.claude.com/docs/en/about-claude/pricing</t>
        </is>
      </c>
    </row>
    <row r="7" ht="15" customHeight="1" s="44">
      <c r="A7" s="104" t="inlineStr">
        <is>
          <t>LLM</t>
        </is>
      </c>
      <c r="B7" s="104" t="inlineStr">
        <is>
          <t>Claude Sonnet 5 — input / output</t>
        </is>
      </c>
      <c r="C7" s="104" t="inlineStr">
        <is>
          <t>2,00 / 10,00</t>
        </is>
      </c>
      <c r="D7" s="104" t="inlineStr">
        <is>
          <t>$ / 1M token</t>
        </is>
      </c>
      <c r="E7" s="105" t="inlineStr">
        <is>
          <t>platform.claude.com/docs/en/about-claude/pricing</t>
        </is>
      </c>
    </row>
    <row r="8" ht="15" customHeight="1" s="44">
      <c r="A8" s="104" t="inlineStr">
        <is>
          <t>LLM</t>
        </is>
      </c>
      <c r="B8" s="104" t="inlineStr">
        <is>
          <t>Claude Haiku 4.5 — input / output</t>
        </is>
      </c>
      <c r="C8" s="104" t="inlineStr">
        <is>
          <t>1,00 / 5,00</t>
        </is>
      </c>
      <c r="D8" s="104" t="inlineStr">
        <is>
          <t>$ / 1M token</t>
        </is>
      </c>
      <c r="E8" s="105" t="inlineStr">
        <is>
          <t>platform.claude.com/docs/en/about-claude/pricing</t>
        </is>
      </c>
    </row>
    <row r="9" ht="15" customHeight="1" s="44">
      <c r="A9" s="104" t="inlineStr">
        <is>
          <t>LLM</t>
        </is>
      </c>
      <c r="B9" s="104" t="inlineStr">
        <is>
          <t>Claude — cache write 5' / cache read</t>
        </is>
      </c>
      <c r="C9" s="104" t="inlineStr">
        <is>
          <t>1,25× / 0,10× input</t>
        </is>
      </c>
      <c r="D9" s="104" t="inlineStr">
        <is>
          <t>hệ số</t>
        </is>
      </c>
      <c r="E9" s="105" t="inlineStr">
        <is>
          <t>platform.claude.com/docs/en/about-claude/pricing</t>
        </is>
      </c>
    </row>
    <row r="10" ht="22.35" customHeight="1" s="44">
      <c r="A10" s="104" t="inlineStr">
        <is>
          <t>LLM</t>
        </is>
      </c>
      <c r="B10" s="104" t="inlineStr">
        <is>
          <t>⏳ OpenAI GPT-5.6 Sol — input / output</t>
        </is>
      </c>
      <c r="C10" s="104" t="inlineStr">
        <is>
          <t>4,00 / 20,00</t>
        </is>
      </c>
      <c r="D10" s="104" t="inlineStr">
        <is>
          <t>$ / 1M token</t>
        </is>
      </c>
      <c r="E10" s="105" t="inlineStr">
        <is>
          <t>developers.openai.com/api/docs/pricing (KM 21/08–21/11/2026; list 5,00/30,00)</t>
        </is>
      </c>
    </row>
    <row r="11" ht="15" customHeight="1" s="44">
      <c r="A11" s="104" t="inlineStr">
        <is>
          <t>LLM</t>
        </is>
      </c>
      <c r="B11" s="104" t="inlineStr">
        <is>
          <t>OpenAI GPT-5.6 Luna — input / output</t>
        </is>
      </c>
      <c r="C11" s="104" t="inlineStr">
        <is>
          <t>0,20 / 1,20</t>
        </is>
      </c>
      <c r="D11" s="104" t="inlineStr">
        <is>
          <t>$ / 1M token</t>
        </is>
      </c>
      <c r="E11" s="105" t="inlineStr">
        <is>
          <t>developers.openai.com/api/docs/pricing</t>
        </is>
      </c>
    </row>
    <row r="12" ht="15" customHeight="1" s="44">
      <c r="A12" s="104" t="inlineStr">
        <is>
          <t>LLM</t>
        </is>
      </c>
      <c r="B12" s="104" t="inlineStr">
        <is>
          <t>OpenAI — cached input / Batch API</t>
        </is>
      </c>
      <c r="C12" s="104" t="inlineStr">
        <is>
          <t>10% input / −50%</t>
        </is>
      </c>
      <c r="D12" s="104" t="inlineStr">
        <is>
          <t>hệ số</t>
        </is>
      </c>
      <c r="E12" s="105" t="inlineStr">
        <is>
          <t>developers.openai.com/api/docs/pricing</t>
        </is>
      </c>
    </row>
    <row r="13" ht="15" customHeight="1" s="44">
      <c r="A13" s="104" t="inlineStr">
        <is>
          <t>LLM</t>
        </is>
      </c>
      <c r="B13" s="104" t="inlineStr">
        <is>
          <t>Gemini 3.1 Pro — input / output (≤200k)</t>
        </is>
      </c>
      <c r="C13" s="104" t="inlineStr">
        <is>
          <t>2,00 / 12,00</t>
        </is>
      </c>
      <c r="D13" s="104" t="inlineStr">
        <is>
          <t>$ / 1M token</t>
        </is>
      </c>
      <c r="E13" s="105" t="inlineStr">
        <is>
          <t>ai.google.dev/gemini-api/docs/pricing</t>
        </is>
      </c>
    </row>
    <row r="14" ht="22.35" customHeight="1" s="44">
      <c r="A14" s="104" t="inlineStr">
        <is>
          <t>LLM</t>
        </is>
      </c>
      <c r="B14" s="104" t="inlineStr">
        <is>
          <t>⏳ Gemini 3.7 Flash — input / output</t>
        </is>
      </c>
      <c r="C14" s="104" t="inlineStr">
        <is>
          <t>0,75 / 3,75</t>
        </is>
      </c>
      <c r="D14" s="104" t="inlineStr">
        <is>
          <t>$ / 1M token</t>
        </is>
      </c>
      <c r="E14" s="105" t="inlineStr">
        <is>
          <t>ai.google.dev/gemini-api/docs/pricing (KM đến 31/12/2026; sau đó 1,50/7,50)</t>
        </is>
      </c>
    </row>
    <row r="15" ht="15" customHeight="1" s="44">
      <c r="A15" s="104" t="inlineStr">
        <is>
          <t>STT</t>
        </is>
      </c>
      <c r="B15" s="104" t="inlineStr">
        <is>
          <t>Deepgram Nova-3 — pre-recorded</t>
        </is>
      </c>
      <c r="C15" s="104" t="inlineStr">
        <is>
          <t>0,0043</t>
        </is>
      </c>
      <c r="D15" s="104" t="inlineStr">
        <is>
          <t>$ / phút</t>
        </is>
      </c>
      <c r="E15" s="105" t="inlineStr">
        <is>
          <t>deepgram.com/pricing</t>
        </is>
      </c>
    </row>
    <row r="16" ht="15" customHeight="1" s="44">
      <c r="A16" s="104" t="inlineStr">
        <is>
          <t>STT</t>
        </is>
      </c>
      <c r="B16" s="104" t="inlineStr">
        <is>
          <t>⏳ Deepgram Nova-3 — streaming</t>
        </is>
      </c>
      <c r="C16" s="104" t="inlineStr">
        <is>
          <t>list 0,0077 · KM 0,0048</t>
        </is>
      </c>
      <c r="D16" s="104" t="inlineStr">
        <is>
          <t>$ / phút</t>
        </is>
      </c>
      <c r="E16" s="105" t="inlineStr">
        <is>
          <t>deepgram.com/pricing — đang khuyến mại, kiểm tra lại</t>
        </is>
      </c>
    </row>
    <row r="17" ht="15" customHeight="1" s="44">
      <c r="A17" s="104" t="inlineStr">
        <is>
          <t>STT</t>
        </is>
      </c>
      <c r="B17" s="104" t="inlineStr">
        <is>
          <t>AssemblyAI Universal-2 — async</t>
        </is>
      </c>
      <c r="C17" s="104" t="inlineStr">
        <is>
          <t>0,0025</t>
        </is>
      </c>
      <c r="D17" s="104" t="inlineStr">
        <is>
          <t>$ / phút</t>
        </is>
      </c>
      <c r="E17" s="105" t="inlineStr">
        <is>
          <t>assemblyai.com/pricing</t>
        </is>
      </c>
    </row>
    <row r="18" ht="15" customHeight="1" s="44">
      <c r="A18" s="104" t="inlineStr">
        <is>
          <t>STT</t>
        </is>
      </c>
      <c r="B18" s="104" t="inlineStr">
        <is>
          <t>OpenAI gpt-4o-mini-transcribe</t>
        </is>
      </c>
      <c r="C18" s="104" t="inlineStr">
        <is>
          <t>0,0030</t>
        </is>
      </c>
      <c r="D18" s="104" t="inlineStr">
        <is>
          <t>$ / phút</t>
        </is>
      </c>
      <c r="E18" s="105" t="inlineStr">
        <is>
          <t>developers.openai.com/api/docs/pricing</t>
        </is>
      </c>
    </row>
    <row r="19" ht="15" customHeight="1" s="44">
      <c r="A19" s="104" t="inlineStr">
        <is>
          <t>TTS</t>
        </is>
      </c>
      <c r="B19" s="104" t="inlineStr">
        <is>
          <t>Google Cloud TTS — Standard</t>
        </is>
      </c>
      <c r="C19" s="104" t="inlineStr">
        <is>
          <t>4,00</t>
        </is>
      </c>
      <c r="D19" s="104" t="inlineStr">
        <is>
          <t>$ / 1M ký tự</t>
        </is>
      </c>
      <c r="E19" s="105" t="inlineStr">
        <is>
          <t>cloud.google.com/text-to-speech/pricing (rẻ nhất)</t>
        </is>
      </c>
    </row>
    <row r="20" ht="15" customHeight="1" s="44">
      <c r="A20" s="104" t="inlineStr">
        <is>
          <t>TTS</t>
        </is>
      </c>
      <c r="B20" s="104" t="inlineStr">
        <is>
          <t>OpenAI tts-1</t>
        </is>
      </c>
      <c r="C20" s="104" t="inlineStr">
        <is>
          <t>15,00</t>
        </is>
      </c>
      <c r="D20" s="104" t="inlineStr">
        <is>
          <t>$ / 1M ký tự</t>
        </is>
      </c>
      <c r="E20" s="105" t="inlineStr">
        <is>
          <t>developers.openai.com/api/docs/pricing</t>
        </is>
      </c>
    </row>
    <row r="21" ht="15" customHeight="1" s="44">
      <c r="A21" s="104" t="inlineStr">
        <is>
          <t>TTS</t>
        </is>
      </c>
      <c r="B21" s="104" t="inlineStr">
        <is>
          <t>ElevenLabs Flash / Turbo</t>
        </is>
      </c>
      <c r="C21" s="104" t="inlineStr">
        <is>
          <t>50,00</t>
        </is>
      </c>
      <c r="D21" s="104" t="inlineStr">
        <is>
          <t>$ / 1M ký tự</t>
        </is>
      </c>
      <c r="E21" s="105" t="inlineStr">
        <is>
          <t>elevenlabs.io/pricing/api</t>
        </is>
      </c>
    </row>
    <row r="22" ht="15" customHeight="1" s="44">
      <c r="A22" s="104" t="inlineStr">
        <is>
          <t>TTS</t>
        </is>
      </c>
      <c r="B22" s="104" t="inlineStr">
        <is>
          <t>ElevenLabs v3 / v2 Multilingual</t>
        </is>
      </c>
      <c r="C22" s="104" t="inlineStr">
        <is>
          <t>100,00</t>
        </is>
      </c>
      <c r="D22" s="104" t="inlineStr">
        <is>
          <t>$ / 1M ký tự</t>
        </is>
      </c>
      <c r="E22" s="105" t="inlineStr">
        <is>
          <t>elevenlabs.io/pricing/api</t>
        </is>
      </c>
    </row>
    <row r="23" ht="15" customHeight="1" s="44">
      <c r="A23" s="104" t="inlineStr">
        <is>
          <t>Quy đổi</t>
        </is>
      </c>
      <c r="B23" s="104" t="inlineStr">
        <is>
          <t>Tốc độ nói</t>
        </is>
      </c>
      <c r="C23" s="104" t="inlineStr">
        <is>
          <t>≈ 900</t>
        </is>
      </c>
      <c r="D23" s="104" t="inlineStr">
        <is>
          <t>ký tự / phút</t>
        </is>
      </c>
      <c r="E23" s="105" t="inlineStr">
        <is>
          <t>≈150 từ/phút — dùng để đổi phút ↔ ký tự</t>
        </is>
      </c>
    </row>
    <row r="24" ht="15" customHeight="1" s="44">
      <c r="A24" s="104" t="inlineStr">
        <is>
          <t>Lưu ý</t>
        </is>
      </c>
      <c r="B24" s="104" t="inlineStr">
        <is>
          <t>Google TTS — ký tự CJK</t>
        </is>
      </c>
      <c r="C24" s="104" t="inlineStr">
        <is>
          <t>tính là 1 ký tự</t>
        </is>
      </c>
      <c r="D24" s="104" t="inlineStr">
        <is>
          <t>—</t>
        </is>
      </c>
      <c r="E24" s="105" t="inlineStr">
        <is>
          <t>cloud.google.com/text-to-speech/pricing (KHÔNG phải ×2)</t>
        </is>
      </c>
    </row>
    <row r="25" ht="15" customHeight="1" s="44">
      <c r="A25" s="104" t="inlineStr">
        <is>
          <t>Lưu ý</t>
        </is>
      </c>
      <c r="B25" s="104" t="inlineStr">
        <is>
          <t>Google STT — tính theo kênh</t>
        </is>
      </c>
      <c r="C25" s="104" t="inlineStr">
        <is>
          <t>4 kênh × 120s = 480s</t>
        </is>
      </c>
      <c r="D25" s="104" t="inlineStr">
        <is>
          <t>—</t>
        </is>
      </c>
      <c r="E25" s="105" t="inlineStr">
        <is>
          <t>cloud.google.com/speech-to-text/pricing</t>
        </is>
      </c>
    </row>
    <row r="26" ht="22.35" customHeight="1" s="44">
      <c r="A26" s="104" t="inlineStr">
        <is>
          <t>Lưu ý</t>
        </is>
      </c>
      <c r="B26" s="104" t="inlineStr">
        <is>
          <t>Streaming vs async STT</t>
        </is>
      </c>
      <c r="C26" s="104" t="inlineStr">
        <is>
          <t>1× đến ~5×</t>
        </is>
      </c>
      <c r="D26" s="104" t="inlineStr">
        <is>
          <t>hệ số</t>
        </is>
      </c>
      <c r="E26" s="105" t="inlineStr">
        <is>
          <t>Tuỳ nhà cung cấp — AssemblyAI 1,0× · Google ~5×. Đừng dùng hệ số chung</t>
        </is>
      </c>
    </row>
    <row r="27" ht="15" customHeight="1" s="44">
      <c r="A27" s="104" t="inlineStr">
        <is>
          <t>Sản phẩm</t>
        </is>
      </c>
      <c r="B27" s="104" t="inlineStr">
        <is>
          <t>Intercom Fin — resolution</t>
        </is>
      </c>
      <c r="C27" s="104" t="inlineStr">
        <is>
          <t>0,99</t>
        </is>
      </c>
      <c r="D27" s="104" t="inlineStr">
        <is>
          <t>$ / outcome</t>
        </is>
      </c>
      <c r="E27" s="105" t="inlineStr">
        <is>
          <t>fin.ai/pricing</t>
        </is>
      </c>
    </row>
    <row r="28" ht="15" customHeight="1" s="44">
      <c r="A28" s="104" t="inlineStr">
        <is>
          <t>Sản phẩm</t>
        </is>
      </c>
      <c r="B28" s="104" t="inlineStr">
        <is>
          <t>Intercom Fin — qualification (sales)</t>
        </is>
      </c>
      <c r="C28" s="104" t="inlineStr">
        <is>
          <t>9,99</t>
        </is>
      </c>
      <c r="D28" s="104" t="inlineStr">
        <is>
          <t>$ / outcome</t>
        </is>
      </c>
      <c r="E28" s="105" t="inlineStr">
        <is>
          <t>fin.ai/pricing</t>
        </is>
      </c>
    </row>
    <row r="29" ht="22.35" customHeight="1" s="44">
      <c r="A29" s="104" t="inlineStr">
        <is>
          <t>Sản phẩm</t>
        </is>
      </c>
      <c r="B29" s="104" t="inlineStr">
        <is>
          <t>Zendesk — automated resolution</t>
        </is>
      </c>
      <c r="C29" s="104" t="inlineStr">
        <is>
          <t>1,50</t>
        </is>
      </c>
      <c r="D29" s="104" t="inlineStr">
        <is>
          <t>$ / resolution</t>
        </is>
      </c>
      <c r="E29" s="105" t="inlineStr">
        <is>
          <t>zendesk.com/blog/ai/agentic-ai/outcome-based-pricing/ (blog, không trên trang giá)</t>
        </is>
      </c>
    </row>
    <row r="30" ht="15" customHeight="1" s="44">
      <c r="A30" s="104" t="inlineStr">
        <is>
          <t>Sản phẩm</t>
        </is>
      </c>
      <c r="B30" s="104" t="inlineStr">
        <is>
          <t>Salesforce Agentforce — Flex Credit</t>
        </is>
      </c>
      <c r="C30" s="104" t="inlineStr">
        <is>
          <t>0,005 (action = 0,10)</t>
        </is>
      </c>
      <c r="D30" s="104" t="inlineStr">
        <is>
          <t>$ / credit</t>
        </is>
      </c>
      <c r="E30" s="105" t="inlineStr">
        <is>
          <t>salesforce.com/agentforce/pricing</t>
        </is>
      </c>
    </row>
    <row r="31" ht="15" customHeight="1" s="44">
      <c r="A31" s="104" t="inlineStr">
        <is>
          <t>Sản phẩm</t>
        </is>
      </c>
      <c r="B31" s="104" t="inlineStr">
        <is>
          <t>Salesforce Agentforce — conversation</t>
        </is>
      </c>
      <c r="C31" s="104" t="inlineStr">
        <is>
          <t>2,00</t>
        </is>
      </c>
      <c r="D31" s="104" t="inlineStr">
        <is>
          <t>$ / conversation</t>
        </is>
      </c>
      <c r="E31" s="105" t="inlineStr">
        <is>
          <t>salesforce.com/agentforce/pricing</t>
        </is>
      </c>
    </row>
    <row r="32" ht="15" customHeight="1" s="44">
      <c r="A32" s="104" t="inlineStr">
        <is>
          <t>Sản phẩm</t>
        </is>
      </c>
      <c r="B32" s="104" t="inlineStr">
        <is>
          <t>GitHub Copilot — AI Credit</t>
        </is>
      </c>
      <c r="C32" s="104" t="inlineStr">
        <is>
          <t>0,01</t>
        </is>
      </c>
      <c r="D32" s="104" t="inlineStr">
        <is>
          <t>$ / credit</t>
        </is>
      </c>
      <c r="E32" s="105" t="inlineStr">
        <is>
          <t>docs.github.com/en/copilot/get-started/plans</t>
        </is>
      </c>
    </row>
    <row r="33" ht="15" customHeight="1" s="44">
      <c r="A33" s="104" t="inlineStr">
        <is>
          <t>Sản phẩm</t>
        </is>
      </c>
      <c r="B33" s="104" t="inlineStr">
        <is>
          <t>GitHub Copilot Business / Enterprise</t>
        </is>
      </c>
      <c r="C33" s="104" t="inlineStr">
        <is>
          <t>19 / 39</t>
        </is>
      </c>
      <c r="D33" s="104" t="inlineStr">
        <is>
          <t>$ / seat / tháng</t>
        </is>
      </c>
      <c r="E33" s="105" t="inlineStr">
        <is>
          <t>docs.github.com/en/copilot/get-started/plans</t>
        </is>
      </c>
    </row>
    <row r="34" ht="15" customHeight="1" s="44">
      <c r="A34" s="104" t="inlineStr">
        <is>
          <t>Sản phẩm</t>
        </is>
      </c>
      <c r="B34" s="104" t="inlineStr">
        <is>
          <t>Notion — Business / credits</t>
        </is>
      </c>
      <c r="C34" s="104" t="inlineStr">
        <is>
          <t>20 / 10 per 1.000</t>
        </is>
      </c>
      <c r="D34" s="104" t="inlineStr">
        <is>
          <t>$ / member / tháng</t>
        </is>
      </c>
      <c r="E34" s="105" t="inlineStr">
        <is>
          <t>notion.com/pricing</t>
        </is>
      </c>
    </row>
    <row r="35" ht="15" customHeight="1" s="44">
      <c r="A35" s="104" t="inlineStr">
        <is>
          <t>Benchmark</t>
        </is>
      </c>
      <c r="B35" s="104" t="inlineStr">
        <is>
          <t>Gross Margin AI-native 2026E</t>
        </is>
      </c>
      <c r="C35" s="104" t="inlineStr">
        <is>
          <t>≈ 53%</t>
        </is>
      </c>
      <c r="D35" s="104" t="inlineStr">
        <is>
          <t>%</t>
        </is>
      </c>
      <c r="E35" s="105" t="inlineStr">
        <is>
          <t>ICONIQ, 2026 State of AI: The Builder's Economy (07/2026)</t>
        </is>
      </c>
    </row>
    <row r="36" ht="15" customHeight="1" s="44">
      <c r="A36" s="104" t="inlineStr">
        <is>
          <t>Benchmark</t>
        </is>
      </c>
      <c r="B36" s="104" t="inlineStr">
        <is>
          <t>Gross Margin cloud (middle 50%)</t>
        </is>
      </c>
      <c r="C36" s="104" t="inlineStr">
        <is>
          <t>60 – 80%</t>
        </is>
      </c>
      <c r="D36" s="104" t="inlineStr">
        <is>
          <t>%</t>
        </is>
      </c>
      <c r="E36" s="105" t="inlineStr">
        <is>
          <t>Bessemer, Scaling to $100 Million (2024)</t>
        </is>
      </c>
    </row>
    <row r="37" ht="15" customHeight="1" s="44">
      <c r="A37" s="104" t="inlineStr">
        <is>
          <t>Benchmark</t>
        </is>
      </c>
      <c r="B37" s="104" t="inlineStr">
        <is>
          <t>Vertical AI — GM / model cost</t>
        </is>
      </c>
      <c r="C37" s="104" t="inlineStr">
        <is>
          <t>≈65% / ≈10% doanh thu</t>
        </is>
      </c>
      <c r="D37" s="104" t="inlineStr">
        <is>
          <t>%</t>
        </is>
      </c>
      <c r="E37" s="105" t="inlineStr">
        <is>
          <t>Bessemer, State of the Cloud 2024</t>
        </is>
      </c>
    </row>
    <row r="38" ht="15" customHeight="1" s="44">
      <c r="A38" s="104" t="inlineStr">
        <is>
          <t>Benchmark</t>
        </is>
      </c>
      <c r="B38" s="104" t="inlineStr">
        <is>
          <t>CAC payback SMB / Mid / Enterprise</t>
        </is>
      </c>
      <c r="C38" s="104" t="inlineStr">
        <is>
          <t>12 / 18 / 24</t>
        </is>
      </c>
      <c r="D38" s="104" t="inlineStr">
        <is>
          <t>tháng</t>
        </is>
      </c>
      <c r="E38" s="105" t="inlineStr">
        <is>
          <t>Bessemer, Scaling to $100 Million (2024)</t>
        </is>
      </c>
    </row>
    <row r="39" ht="15" customHeight="1" s="44">
      <c r="A39" s="104" t="inlineStr">
        <is>
          <t>Benchmark</t>
        </is>
      </c>
      <c r="B39" s="104" t="inlineStr">
        <is>
          <t>LTV : CAC</t>
        </is>
      </c>
      <c r="C39" s="104" t="inlineStr">
        <is>
          <t>≥ 3×</t>
        </is>
      </c>
      <c r="D39" s="104" t="inlineStr">
        <is>
          <t>lần</t>
        </is>
      </c>
      <c r="E39" s="105" t="inlineStr">
        <is>
          <t>David Skok, SaaS Metrics 2.0 (cập nhật 06/2026)</t>
        </is>
      </c>
    </row>
    <row r="40" ht="15" customHeight="1" s="44">
      <c r="A40" s="104" t="inlineStr">
        <is>
          <t>Benchmark</t>
        </is>
      </c>
      <c r="B40" s="104" t="inlineStr">
        <is>
          <t>Cost per opportunity 2026 (theo phân khúc)</t>
        </is>
      </c>
      <c r="C40" s="104" t="inlineStr">
        <is>
          <t>6.300 · 8.000 · 11.200</t>
        </is>
      </c>
      <c r="D40" s="104" t="inlineStr">
        <is>
          <t>$</t>
        </is>
      </c>
      <c r="E40" s="105" t="inlineStr">
        <is>
          <t>ICONIQ, State of GTM 2026 (tr.22)</t>
        </is>
      </c>
    </row>
    <row r="41" ht="15" customHeight="1" s="44">
      <c r="A41" s="104" t="inlineStr">
        <is>
          <t>Benchmark</t>
        </is>
      </c>
      <c r="B41" s="104" t="inlineStr">
        <is>
          <t>ACV sàn cho inside sales</t>
        </is>
      </c>
      <c r="C41" s="104" t="inlineStr">
        <is>
          <t>≈ 3.000</t>
        </is>
      </c>
      <c r="D41" s="104" t="inlineStr">
        <is>
          <t>$ / năm</t>
        </is>
      </c>
      <c r="E41" s="105" t="inlineStr">
        <is>
          <t>Tomasz Tunguz (2016) — có kèm giả định để tính lại</t>
        </is>
      </c>
    </row>
    <row r="43" ht="15" customHeight="1" s="44">
      <c r="A43" s="47" t="inlineStr">
        <is>
          <t>Lưu ý: trang marketing của nhà cung cấp có thể hiển thị giá cũ hơn trang docs. Ưu tiên trang docs / pricing chính thức.</t>
        </is>
      </c>
    </row>
    <row r="45">
      <c r="A45" s="55" t="inlineStr">
        <is>
          <t>ĐÃ TỰ KIỂM TRA LẠI NGÀY 27/08/2026 — học viên thêm</t>
        </is>
      </c>
    </row>
    <row r="46">
      <c r="A46" s="55" t="inlineStr">
        <is>
          <t>Nhóm</t>
        </is>
      </c>
      <c r="B46" s="55" t="inlineStr">
        <is>
          <t>Mục</t>
        </is>
      </c>
      <c r="C46" s="55" t="inlineStr">
        <is>
          <t>Giá</t>
        </is>
      </c>
      <c r="D46" s="55" t="inlineStr">
        <is>
          <t>Đơn vị</t>
        </is>
      </c>
      <c r="E46" s="55" t="inlineStr">
        <is>
          <t>Nguồn</t>
        </is>
      </c>
    </row>
    <row r="47" ht="34" customHeight="1" s="44">
      <c r="A47" s="116" t="inlineStr">
        <is>
          <t>LLM</t>
        </is>
      </c>
      <c r="B47" s="116" t="inlineStr">
        <is>
          <t>deepseek-v4-flash — cache hit</t>
        </is>
      </c>
      <c r="C47" s="117" t="inlineStr">
        <is>
          <t>0,007 off-peak / 0,014 peak</t>
        </is>
      </c>
      <c r="D47" s="116" t="inlineStr">
        <is>
          <t>$ / 1M token</t>
        </is>
      </c>
      <c r="E47" s="118" t="inlineStr">
        <is>
          <t>https://api-docs.deepseek.com/quick_start/pricing</t>
        </is>
      </c>
    </row>
    <row r="48" ht="34" customHeight="1" s="44">
      <c r="A48" s="116" t="inlineStr">
        <is>
          <t>LLM</t>
        </is>
      </c>
      <c r="B48" s="116" t="inlineStr">
        <is>
          <t>deepseek-v4-flash — cache miss</t>
        </is>
      </c>
      <c r="C48" s="117" t="inlineStr">
        <is>
          <t>0,22 off-peak / 0,44 peak</t>
        </is>
      </c>
      <c r="D48" s="116" t="inlineStr">
        <is>
          <t>$ / 1M token</t>
        </is>
      </c>
      <c r="E48" s="118" t="inlineStr">
        <is>
          <t>https://api-docs.deepseek.com/quick_start/pricing</t>
        </is>
      </c>
    </row>
    <row r="49" ht="34" customHeight="1" s="44">
      <c r="A49" s="116" t="inlineStr">
        <is>
          <t>LLM</t>
        </is>
      </c>
      <c r="B49" s="116" t="inlineStr">
        <is>
          <t>deepseek-v4-flash — output</t>
        </is>
      </c>
      <c r="C49" s="117" t="inlineStr">
        <is>
          <t>0,66 off-peak / 1,32 peak</t>
        </is>
      </c>
      <c r="D49" s="116" t="inlineStr">
        <is>
          <t>$ / 1M token</t>
        </is>
      </c>
      <c r="E49" s="118" t="inlineStr">
        <is>
          <t>https://api-docs.deepseek.com/quick_start/pricing</t>
        </is>
      </c>
    </row>
    <row r="50" ht="34" customHeight="1" s="44">
      <c r="A50" s="116" t="inlineStr">
        <is>
          <t>LLM</t>
        </is>
      </c>
      <c r="B50" s="116" t="inlineStr">
        <is>
          <t>DeepSeek — khung giờ PEAK</t>
        </is>
      </c>
      <c r="C50" s="117" t="inlineStr">
        <is>
          <t>01–04h và 06–10h UTC, T2–T6 = 08–11h và 13–17h giờ VN</t>
        </is>
      </c>
      <c r="D50" s="116" t="inlineStr">
        <is>
          <t>—</t>
        </is>
      </c>
      <c r="E50" s="118" t="inlineStr">
        <is>
          <t>https://api-docs.deepseek.com/quick_start/pricing</t>
        </is>
      </c>
    </row>
    <row r="51" ht="34" customHeight="1" s="44">
      <c r="A51" s="116" t="inlineStr">
        <is>
          <t>LLM</t>
        </is>
      </c>
      <c r="B51" s="116" t="inlineStr">
        <is>
          <t>DeepSeek — KHÔNG có phí cache-write riêng</t>
        </is>
      </c>
      <c r="C51" s="117" t="inlineStr">
        <is>
          <t>lượt đầu nạp prefix tính đúng giá cache miss</t>
        </is>
      </c>
      <c r="D51" s="116" t="inlineStr">
        <is>
          <t>—</t>
        </is>
      </c>
      <c r="E51" s="118" t="inlineStr">
        <is>
          <t>https://api-docs.deepseek.com/quick_start/pricing</t>
        </is>
      </c>
    </row>
    <row r="52" ht="34" customHeight="1" s="44">
      <c r="A52" s="116" t="inlineStr">
        <is>
          <t>ĐÍNH CHÍNH</t>
        </is>
      </c>
      <c r="B52" s="116" t="inlineStr">
        <is>
          <t>Claude Sonnet 5 — 2,00 / 10,00 $</t>
        </is>
      </c>
      <c r="C52" s="117" t="inlineStr">
        <is>
          <t>Tài liệu Lab ghi đây là giá KM sẽ tăng lên 3/15 $ từ 01/09/2026. Trang giá ngày 27/08/2026 cho biết mức 2/10 $ ĐÃ thành giá chuẩn và đợt tăng đó SẼ KHÔNG diễn ra.</t>
        </is>
      </c>
      <c r="D52" s="116" t="inlineStr">
        <is>
          <t>$ / 1M token</t>
        </is>
      </c>
      <c r="E52" s="118" t="inlineStr">
        <is>
          <t>https://platform.claude.com/docs/en/about-claude/pricing</t>
        </is>
      </c>
    </row>
    <row r="53" ht="34" customHeight="1" s="44">
      <c r="A53" s="116" t="inlineStr">
        <is>
          <t>ĐÍNH CHÍNH</t>
        </is>
      </c>
      <c r="B53" s="116" t="inlineStr">
        <is>
          <t>Zendesk — 1,50 $/resolution</t>
        </is>
      </c>
      <c r="C53" s="117" t="inlineStr">
        <is>
          <t>Trang tài liệu chính thức KHÔNG công bố đơn giá; con số 1,50 $ lưu hành là từ blog. Trang này chỉ nêu ba bậc: assisted escalation và contained resolution KHÔNG trừ hạn mức, chỉ verified resolution mới trừ và phải qua LLM kiểm chứng. Cửa sổ kết thúc hội thoại: 72h email · 2h messaging (chỉnh tới 72h) · ngay khi cúp máy.</t>
        </is>
      </c>
      <c r="D53" s="116" t="inlineStr">
        <is>
          <t>—</t>
        </is>
      </c>
      <c r="E53" s="118" t="inlineStr">
        <is>
          <t>https://support.zendesk.com/hc/en-us/articles/9570369117338-About-automated-resolution-tiers</t>
        </is>
      </c>
    </row>
    <row r="54" ht="34" customHeight="1" s="44">
      <c r="A54" s="116" t="inlineStr">
        <is>
          <t>Sản phẩm</t>
        </is>
      </c>
      <c r="B54" s="116" t="inlineStr">
        <is>
          <t>Intercom Fin — xác nhận lại</t>
        </is>
      </c>
      <c r="C54" s="117" t="inlineStr">
        <is>
          <t>0,99 $/resolution · 9,99 $/qualification; trên helpdesk bên thứ ba KHÔNG phí seat, không phí tích hợp, có cam kết tối thiểu</t>
        </is>
      </c>
      <c r="D54" s="116" t="inlineStr">
        <is>
          <t>$ / outcome</t>
        </is>
      </c>
      <c r="E54" s="118" t="inlineStr">
        <is>
          <t>https://fin.ai/pricing/</t>
        </is>
      </c>
    </row>
    <row r="56">
      <c r="A56" s="55" t="inlineStr">
        <is>
          <t>NGUỒN NỘI BỘ — bằng chứng lấy từ chính sản phẩm (repo P-121)</t>
        </is>
      </c>
    </row>
    <row r="57">
      <c r="A57" s="55" t="inlineStr">
        <is>
          <t>Số liệu</t>
        </is>
      </c>
      <c r="B57" s="55" t="inlineStr">
        <is>
          <t>Giá trị</t>
        </is>
      </c>
      <c r="C57" s="55" t="inlineStr">
        <is>
          <t>Lấy ở đâu</t>
        </is>
      </c>
      <c r="D57" s="55" t="inlineStr">
        <is>
          <t>Ngày</t>
        </is>
      </c>
      <c r="E57" s="55" t="inlineStr">
        <is>
          <t>Cảnh báo</t>
        </is>
      </c>
    </row>
    <row r="58" ht="30" customHeight="1" s="44">
      <c r="A58" s="116" t="inlineStr">
        <is>
          <t>blocking clean_rate</t>
        </is>
      </c>
      <c r="B58" s="117" t="inlineStr">
        <is>
          <t>94,83% — 6/116 ca vi phạm</t>
        </is>
      </c>
      <c r="C58" s="116" t="inlineStr">
        <is>
          <t>eval/results/run-2026-08-27-sau-seed-scored.json</t>
        </is>
      </c>
      <c r="D58" s="116" t="inlineStr">
        <is>
          <t>27/08/2026</t>
        </is>
      </c>
      <c r="E58" s="117" t="inlineStr">
        <is>
          <t>Ngưỡng nội bộ là 100%. File có provenance: commit 10d30e5.</t>
        </is>
      </c>
    </row>
    <row r="59" ht="30" customHeight="1" s="44">
      <c r="A59" s="116" t="inlineStr">
        <is>
          <t>missed_expected_ticket</t>
        </is>
      </c>
      <c r="B59" s="117" t="inlineStr">
        <is>
          <t>96 / 97 ca kỳ vọng</t>
        </is>
      </c>
      <c r="C59" s="116" t="inlineStr">
        <is>
          <t>cùng file</t>
        </is>
      </c>
      <c r="D59" s="116" t="inlineStr">
        <is>
          <t>27/08/2026</t>
        </is>
      </c>
      <c r="E59" s="117" t="inlineStr">
        <is>
          <t>Chẩn đoán trong file: nguyên nhân HỆ THỐNG (business_config rỗng), không phải lỗi rải rác từng ca.</t>
        </is>
      </c>
    </row>
    <row r="60" ht="30" customHeight="1" s="44">
      <c r="A60" s="116" t="inlineStr">
        <is>
          <t>hitl_ticket_without_confirm</t>
        </is>
      </c>
      <c r="B60" s="117" t="inlineStr">
        <is>
          <t>0</t>
        </is>
      </c>
      <c r="C60" s="116" t="inlineStr">
        <is>
          <t>cùng file</t>
        </is>
      </c>
      <c r="D60" s="116" t="inlineStr">
        <is>
          <t>27/08/2026</t>
        </is>
      </c>
      <c r="E60" s="117" t="inlineStr">
        <is>
          <t>hitl_tools_observable = true. Lượt 22/08 con số này KHÔNG quan sát được vì tool lưu nhãn hiển thị.</t>
        </is>
      </c>
    </row>
    <row r="61" ht="30" customHeight="1" s="44">
      <c r="A61" s="116" t="inlineStr">
        <is>
          <t>PDPA phone leak</t>
        </is>
      </c>
      <c r="B61" s="117" t="inlineStr">
        <is>
          <t>4 ca (029, 038, 151, 155)</t>
        </is>
      </c>
      <c r="C61" s="116" t="inlineStr">
        <is>
          <t>cùng file</t>
        </is>
      </c>
      <c r="D61" s="116" t="inlineStr">
        <is>
          <t>27/08/2026</t>
        </is>
      </c>
      <c r="E61" s="117" t="inlineStr">
        <is>
          <t>Ngưỡng là 0. Procurement sẽ hỏi mục này đầu tiên.</t>
        </is>
      </c>
    </row>
    <row r="62" ht="30" customHeight="1" s="44">
      <c r="A62" s="116" t="inlineStr">
        <is>
          <t>tools_required_satisfied</t>
        </is>
      </c>
      <c r="B62" s="117" t="inlineStr">
        <is>
          <t>21,55%</t>
        </is>
      </c>
      <c r="C62" s="116" t="inlineStr">
        <is>
          <t>cùng file</t>
        </is>
      </c>
      <c r="D62" s="116" t="inlineStr">
        <is>
          <t>27/08/2026</t>
        </is>
      </c>
      <c r="E62" s="117" t="inlineStr"/>
    </row>
    <row r="63" ht="30" customHeight="1" s="44">
      <c r="A63" s="116" t="inlineStr">
        <is>
          <t>AGENT_MAX_STEPS</t>
        </is>
      </c>
      <c r="B63" s="117" t="inlineStr">
        <is>
          <t>8</t>
        </is>
      </c>
      <c r="C63" s="116" t="inlineStr">
        <is>
          <t>_meta của lượt chạy</t>
        </is>
      </c>
      <c r="D63" s="116" t="inlineStr">
        <is>
          <t>27/08/2026</t>
        </is>
      </c>
      <c r="E63" s="117" t="inlineStr">
        <is>
          <t>Lượt 22/08 chạy ở 6 — mô hình token dùng 8.</t>
        </is>
      </c>
    </row>
    <row r="64" ht="30" customHeight="1" s="44">
      <c r="A64" s="116" t="inlineStr">
        <is>
          <t>Độ trễ p50 / p90</t>
        </is>
      </c>
      <c r="B64" s="117" t="inlineStr">
        <is>
          <t>6,17 s / 13,64 s</t>
        </is>
      </c>
      <c r="C64" s="116" t="inlineStr">
        <is>
          <t>BRIEF-2026-08-15</t>
        </is>
      </c>
      <c r="D64" s="116" t="inlineStr">
        <is>
          <t>15/08/2026</t>
        </is>
      </c>
      <c r="E64" s="117" t="inlineStr">
        <is>
          <t>Đo ở môi trường seed sai; dùng để ước chi phí compute, KHÔNG dùng làm SLA.</t>
        </is>
      </c>
    </row>
    <row r="65" ht="30" customHeight="1" s="44">
      <c r="A65" s="116" t="inlineStr">
        <is>
          <t>agent_token_budget</t>
        </is>
      </c>
      <c r="B65" s="117" t="inlineStr">
        <is>
          <t>120.000 token / hội thoại</t>
        </is>
      </c>
      <c r="C65" s="116" t="inlineStr">
        <is>
          <t>src/core/config.py</t>
        </is>
      </c>
      <c r="D65" s="116" t="inlineStr">
        <is>
          <t>27/08/2026</t>
        </is>
      </c>
      <c r="E65" s="117" t="inlineStr">
        <is>
          <t>Trần cứng, chặn một hội thoại nổ chi phí.</t>
        </is>
      </c>
    </row>
    <row r="66" ht="30" customHeight="1" s="44">
      <c r="A66" s="116" t="inlineStr">
        <is>
          <t>Đơn giá metering trong mã</t>
        </is>
      </c>
      <c r="B66" s="117" t="inlineStr">
        <is>
          <t>0,0005 $/1k prompt · 0,0015 $/1k completion · 0,001 $/MCP call</t>
        </is>
      </c>
      <c r="C66" s="116" t="inlineStr">
        <is>
          <t>src/core/config.py</t>
        </is>
      </c>
      <c r="D66" s="116" t="inlineStr">
        <is>
          <t>27/08/2026</t>
        </is>
      </c>
      <c r="E66" s="117" t="inlineStr">
        <is>
          <t>Là giá ƯỚC TÍNH cho báo cáo billing, KHÔNG phải giá hợp đồng.</t>
        </is>
      </c>
    </row>
    <row r="68">
      <c r="A68" s="56" t="inlineStr">
        <is>
          <t>Bài học đắt nhất trong thư mục eval — và nó thuộc về đúng bài Pricing này</t>
        </is>
      </c>
      <c r="B68" s="57" t="inlineStr">
        <is>
          <t>Cùng một sản phẩm, cùng một ngày, hai bộ chấm khác nhau cho ra 25% và 94,8%, và không cách nào biết vì sao vì file cũ không ghi phiên bản bộ chấm. Một lượt chạy hỏng vì môi trường (bảng phiên rỗng, mọi tool trả lỗi) lại được chấm CAO ở tầng vi phạm chặn, vì không tra được thì không có số nào để bịa. Một lượt bị lỗi 429 ở 70/118 ca được chấm 99,14%, cao hơn cả lượt chạy thật. Đó là lý do từ 26/08/2026 mọi file chấm mang provenance. Kết luận cho bài này: nếu Value Metric của bạn tính tiền theo kết quả thì con số kết quả phải TÁI LẬP ĐƯỢC, không chỉ phải TỒN TẠI. Bán Outcome trên một con số không có provenance là ký hợp đồng dựa trên một con số ngẫu nhiên.</t>
        </is>
      </c>
    </row>
  </sheetData>
  <mergeCells count="3">
    <mergeCell ref="A45:E45"/>
    <mergeCell ref="A56:E56"/>
    <mergeCell ref="B68:E68"/>
  </mergeCells>
  <hyperlinks>
    <hyperlink xmlns:r="http://schemas.openxmlformats.org/officeDocument/2006/relationships" ref="E47" r:id="rId1"/>
    <hyperlink xmlns:r="http://schemas.openxmlformats.org/officeDocument/2006/relationships" ref="E48" r:id="rId2"/>
    <hyperlink xmlns:r="http://schemas.openxmlformats.org/officeDocument/2006/relationships" ref="E49" r:id="rId3"/>
    <hyperlink xmlns:r="http://schemas.openxmlformats.org/officeDocument/2006/relationships" ref="E50" r:id="rId4"/>
    <hyperlink xmlns:r="http://schemas.openxmlformats.org/officeDocument/2006/relationships" ref="E51" r:id="rId5"/>
    <hyperlink xmlns:r="http://schemas.openxmlformats.org/officeDocument/2006/relationships" ref="E52" r:id="rId6"/>
    <hyperlink xmlns:r="http://schemas.openxmlformats.org/officeDocument/2006/relationships" ref="E53" r:id="rId7"/>
    <hyperlink xmlns:r="http://schemas.openxmlformats.org/officeDocument/2006/relationships" ref="E54" r:id="rId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2026-08-26T15:07:08Z</dcterms:created>
  <dcterms:modified xmlns:dcterms="http://purl.org/dc/terms/" xmlns:xsi="http://www.w3.org/2001/XMLSchema-instance" xsi:type="dcterms:W3CDTF">2026-08-27T06:17:09Z</dcterms:modified>
  <cp:revision>0</cp:revision>
</cp:coreProperties>
</file>