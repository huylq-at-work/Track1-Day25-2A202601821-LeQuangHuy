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EADME" sheetId="1" state="visible" r:id="rId1"/>
    <sheet name="1_Cost_Job" sheetId="2" state="visible" r:id="rId2"/>
    <sheet name="2_Pricing" sheetId="3" state="visible" r:id="rId3"/>
    <sheet name="3_Value_Metric" sheetId="4" state="visible" r:id="rId4"/>
    <sheet name="4_Channel_Fit" sheetId="5" state="visible" r:id="rId5"/>
    <sheet name="5_90Day_Plan" sheetId="6" state="visible" r:id="rId6"/>
    <sheet name="6_Benchmarks" sheetId="7" state="visible" r:id="rId7"/>
  </sheets>
  <definedNames/>
  <calcPr calcId="124519" fullCalcOnLoad="1"/>
</workbook>
</file>

<file path=xl/styles.xml><?xml version="1.0" encoding="utf-8"?>
<styleSheet xmlns="http://schemas.openxmlformats.org/spreadsheetml/2006/main">
  <numFmts count="8">
    <numFmt numFmtId="164" formatCode="0.0%"/>
    <numFmt numFmtId="165" formatCode="#,##0.000000"/>
    <numFmt numFmtId="166" formatCode="0.0"/>
    <numFmt numFmtId="167" formatCode="#,##0.0"/>
    <numFmt numFmtId="168" formatCode="#,##0.0000"/>
    <numFmt numFmtId="169" formatCode="0.0&quot;x&quot;"/>
    <numFmt numFmtId="170" formatCode="0.00&quot;x&quot;"/>
    <numFmt numFmtId="171" formatCode="0.0000"/>
  </numFmts>
  <fonts count="5">
    <font>
      <name val="Calibri"/>
      <family val="2"/>
      <color theme="1"/>
      <sz val="11"/>
      <scheme val="minor"/>
    </font>
    <font>
      <b val="1"/>
      <color rgb="00FFFFFF"/>
      <sz val="12"/>
    </font>
    <font>
      <b val="1"/>
    </font>
    <font>
      <i val="1"/>
      <color rgb="00595959"/>
      <sz val="9"/>
    </font>
    <font>
      <color rgb="000563C1"/>
      <sz val="9"/>
      <u val="single"/>
    </font>
  </fonts>
  <fills count="8">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2F2F2"/>
      </patternFill>
    </fill>
    <fill>
      <patternFill patternType="solid">
        <fgColor rgb="00C6EFCE"/>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vertical="center"/>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 fillId="7" borderId="0" pivotButton="0" quotePrefix="0" xfId="0"/>
    <xf numFmtId="0" fontId="0" fillId="4" borderId="1" pivotButton="0" quotePrefix="0" xfId="0"/>
    <xf numFmtId="0" fontId="0" fillId="0" borderId="4" pivotButton="0" quotePrefix="0" xfId="0"/>
    <xf numFmtId="0" fontId="0" fillId="0" borderId="5" pivotButton="0" quotePrefix="0" xfId="0"/>
    <xf numFmtId="0" fontId="3" fillId="0" borderId="0" pivotButton="0" quotePrefix="0" xfId="0"/>
    <xf numFmtId="3" fontId="0" fillId="4" borderId="1" pivotButton="0" quotePrefix="0" xfId="0"/>
    <xf numFmtId="164" fontId="0" fillId="4" borderId="1" pivotButton="0" quotePrefix="0" xfId="0"/>
    <xf numFmtId="3" fontId="0" fillId="5" borderId="1" pivotButton="0" quotePrefix="0" xfId="0"/>
    <xf numFmtId="164" fontId="0" fillId="5" borderId="1" pivotButton="0" quotePrefix="0" xfId="0"/>
    <xf numFmtId="0" fontId="2" fillId="0" borderId="0" pivotButton="0" quotePrefix="0" xfId="0"/>
    <xf numFmtId="3" fontId="2" fillId="5" borderId="1" pivotButton="0" quotePrefix="0" xfId="0"/>
    <xf numFmtId="10" fontId="0" fillId="5" borderId="1" pivotButton="0" quotePrefix="0" xfId="0"/>
    <xf numFmtId="165" fontId="0" fillId="4" borderId="1" pivotButton="0" quotePrefix="0" xfId="0"/>
    <xf numFmtId="165" fontId="0" fillId="5" borderId="1" pivotButton="0" quotePrefix="0" xfId="0"/>
    <xf numFmtId="4" fontId="2" fillId="5" borderId="1" pivotButton="0" quotePrefix="0" xfId="0"/>
    <xf numFmtId="4" fontId="0" fillId="5" borderId="1" pivotButton="0" quotePrefix="0" xfId="0"/>
    <xf numFmtId="0" fontId="2" fillId="4" borderId="1" pivotButton="0" quotePrefix="0" xfId="0"/>
    <xf numFmtId="166" fontId="0" fillId="4" borderId="1" pivotButton="0" quotePrefix="0" xfId="0"/>
    <xf numFmtId="4" fontId="0" fillId="4" borderId="1" pivotButton="0" quotePrefix="0" xfId="0"/>
    <xf numFmtId="167" fontId="0" fillId="5" borderId="1" pivotButton="0" quotePrefix="0" xfId="0"/>
    <xf numFmtId="2" fontId="0" fillId="5" borderId="1" pivotButton="0" quotePrefix="0" xfId="0"/>
    <xf numFmtId="165" fontId="2" fillId="5" borderId="1" pivotButton="0" quotePrefix="0" xfId="0"/>
    <xf numFmtId="168" fontId="0" fillId="5" borderId="1" pivotButton="0" quotePrefix="0" xfId="0"/>
    <xf numFmtId="168" fontId="2" fillId="5" borderId="1" pivotButton="0" quotePrefix="0" xfId="0"/>
    <xf numFmtId="0" fontId="2" fillId="5" borderId="1" pivotButton="0" quotePrefix="0" xfId="0"/>
    <xf numFmtId="169" fontId="0" fillId="5" borderId="1" pivotButton="0" quotePrefix="0" xfId="0"/>
    <xf numFmtId="10" fontId="2" fillId="5" borderId="1" pivotButton="0" quotePrefix="0" xfId="0"/>
    <xf numFmtId="170" fontId="2" fillId="5" borderId="1" pivotButton="0" quotePrefix="0" xfId="0"/>
    <xf numFmtId="10" fontId="0" fillId="4" borderId="1" pivotButton="0" quotePrefix="0" xfId="0"/>
    <xf numFmtId="170" fontId="0" fillId="5" borderId="1" pivotButton="0" quotePrefix="0" xfId="0"/>
    <xf numFmtId="164" fontId="2" fillId="3" borderId="0" pivotButton="0" quotePrefix="0" xfId="0"/>
    <xf numFmtId="0" fontId="0" fillId="5" borderId="1" pivotButton="0" quotePrefix="0" xfId="0"/>
    <xf numFmtId="0" fontId="0" fillId="0" borderId="0" applyAlignment="1" pivotButton="0" quotePrefix="0" xfId="0">
      <alignment vertical="top" wrapText="1"/>
    </xf>
    <xf numFmtId="0" fontId="4" fillId="0" borderId="0" pivotButton="0" quotePrefix="0" xfId="0"/>
    <xf numFmtId="171" fontId="0" fillId="5" borderId="1" pivotButton="0" quotePrefix="0" xfId="0"/>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1" pivotButton="0" quotePrefix="0" xfId="0"/>
    <xf numFmtId="0" fontId="4" fillId="0" borderId="1" applyAlignment="1" pivotButton="0" quotePrefix="0" xfId="0">
      <alignment vertical="top" wrapText="1"/>
    </xf>
  </cellXfs>
  <cellStyles count="1">
    <cellStyle name="Normal" xfId="0" builtinId="0" hidden="0"/>
  </cellStyles>
  <dxfs count="3">
    <dxf>
      <fill>
        <patternFill patternType="solid">
          <fgColor rgb="00FFC7CE"/>
        </patternFill>
      </fill>
    </dxf>
    <dxf>
      <fill>
        <patternFill patternType="solid">
          <fgColor rgb="00C6EF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fin.ai/pricing/" TargetMode="External" Id="rId1" /><Relationship Type="http://schemas.openxmlformats.org/officeDocument/2006/relationships/hyperlink" Target="https://support.zendesk.com/hc/en-us/articles/9570369117338-About-automated-resolution-tiers" TargetMode="External" Id="rId2" /><Relationship Type="http://schemas.openxmlformats.org/officeDocument/2006/relationships/hyperlink" Target="https://www.salesforce.com/agentforce/pricing/" TargetMode="External" Id="rId3" /><Relationship Type="http://schemas.openxmlformats.org/officeDocument/2006/relationships/hyperlink" Target="https://github.blog/news-insights/company-news/github-copilot-is-moving-to-usage-based-billing/" TargetMode="External" Id="rId4" /></Relationships>
</file>

<file path=xl/worksheets/_rels/sheet7.xml.rels><Relationships xmlns="http://schemas.openxmlformats.org/package/2006/relationships"><Relationship Type="http://schemas.openxmlformats.org/officeDocument/2006/relationships/hyperlink" Target="https://api-docs.deepseek.com/quick_start/pricing" TargetMode="External" Id="rId1" /><Relationship Type="http://schemas.openxmlformats.org/officeDocument/2006/relationships/hyperlink" Target="https://api-docs.deepseek.com/quick_start/pricing" TargetMode="External" Id="rId2" /><Relationship Type="http://schemas.openxmlformats.org/officeDocument/2006/relationships/hyperlink" Target="https://api-docs.deepseek.com/quick_start/pricing" TargetMode="External" Id="rId3" /><Relationship Type="http://schemas.openxmlformats.org/officeDocument/2006/relationships/hyperlink" Target="https://api-docs.deepseek.com/quick_start/pricing" TargetMode="External" Id="rId4" /><Relationship Type="http://schemas.openxmlformats.org/officeDocument/2006/relationships/hyperlink" Target="https://platform.claude.com/docs/en/about-claude/pricing" TargetMode="External" Id="rId5" /><Relationship Type="http://schemas.openxmlformats.org/officeDocument/2006/relationships/hyperlink" Target="https://platform.claude.com/docs/en/about-claude/pricing" TargetMode="External" Id="rId6" /><Relationship Type="http://schemas.openxmlformats.org/officeDocument/2006/relationships/hyperlink" Target="https://platform.claude.com/docs/en/about-claude/pricing" TargetMode="External" Id="rId7" /><Relationship Type="http://schemas.openxmlformats.org/officeDocument/2006/relationships/hyperlink" Target="https://platform.claude.com/docs/en/about-claude/pricing" TargetMode="External" Id="rId8" /><Relationship Type="http://schemas.openxmlformats.org/officeDocument/2006/relationships/hyperlink" Target="https://platform.claude.com/docs/en/about-claude/pricing" TargetMode="External" Id="rId9" /><Relationship Type="http://schemas.openxmlformats.org/officeDocument/2006/relationships/hyperlink" Target="https://fin.ai/pricing/" TargetMode="External" Id="rId10" /><Relationship Type="http://schemas.openxmlformats.org/officeDocument/2006/relationships/hyperlink" Target="https://support.zendesk.com/hc/en-us/articles/9570369117338-About-automated-resolution-tiers" TargetMode="External" Id="rId11" /><Relationship Type="http://schemas.openxmlformats.org/officeDocument/2006/relationships/hyperlink" Target="https://www.salesforce.com/agentforce/pricing/" TargetMode="External" Id="rId12" /><Relationship Type="http://schemas.openxmlformats.org/officeDocument/2006/relationships/hyperlink" Target="https://github.blog/news-insights/company-news/github-copilot-is-moving-to-usage-based-billing/" TargetMode="External" Id="rId13" /><Relationship Type="http://schemas.openxmlformats.org/officeDocument/2006/relationships/hyperlink" Target="https://www.iconiq.com/growth/reports/state-of-ai-2026" TargetMode="External" Id="rId14" /><Relationship Type="http://schemas.openxmlformats.org/officeDocument/2006/relationships/hyperlink" Target="https://www.bvp.com/atlas/state-of-the-cloud-2024" TargetMode="External" Id="rId15" /><Relationship Type="http://schemas.openxmlformats.org/officeDocument/2006/relationships/hyperlink" Target="https://www.bvp.com/atlas/state-of-the-cloud-2024" TargetMode="External" Id="rId16" /><Relationship Type="http://schemas.openxmlformats.org/officeDocument/2006/relationships/hyperlink" Target="https://www.iconiq.com" TargetMode="External" Id="rId17" /><Relationship Type="http://schemas.openxmlformats.org/officeDocument/2006/relationships/hyperlink" Target="https://www.forentrepreneurs.com/saas-metrics-2/" TargetMode="External" Id="rId18" /><Relationship Type="http://schemas.openxmlformats.org/officeDocument/2006/relationships/hyperlink" Target="https://tomtunguz.com/smallest-acv-to-justify-inside-sales-team/" TargetMode="External" Id="rId19" /><Relationship Type="http://schemas.openxmlformats.org/officeDocument/2006/relationships/hyperlink" Target="https://www.iconiq.com/growth/reports/state-of-ai-2026" TargetMode="External" Id="rId20" /></Relationships>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outlineLevelCol="0"/>
  <cols>
    <col width="40" customWidth="1" min="1" max="1"/>
    <col width="24" customWidth="1" min="2" max="2"/>
    <col width="14" customWidth="1" min="3" max="3"/>
    <col width="90" customWidth="1" min="4" max="4"/>
  </cols>
  <sheetData>
    <row r="1" ht="24" customHeight="1">
      <c r="A1" s="1" t="inlineStr">
        <is>
          <t>Day 25 — Monetization Model · WalletCare (FIN-05) · Le Quang Huy · 2A202601821</t>
        </is>
      </c>
    </row>
    <row r="3">
      <c r="A3" t="inlineStr">
        <is>
          <t>Sản phẩm</t>
        </is>
      </c>
      <c r="B3" t="inlineStr">
        <is>
          <t>WalletCare / FIN-05</t>
        </is>
      </c>
      <c r="D3" t="inlineStr">
        <is>
          <t>AI Agent CSKH ví điện tử + xử lý khiếu nại giao dịch (repo P-121, nhóm T121, Build Phase Cohort 3)</t>
        </is>
      </c>
    </row>
    <row r="4">
      <c r="A4" t="inlineStr">
        <is>
          <t>Ngày lập mô hình</t>
        </is>
      </c>
      <c r="B4" t="inlineStr">
        <is>
          <t>27/08/2026</t>
        </is>
      </c>
      <c r="D4" t="inlineStr">
        <is>
          <t>Mọi giá API ở tab 6_Benchmarks đều có ngày kiểm tra riêng</t>
        </is>
      </c>
    </row>
    <row r="5">
      <c r="A5" t="inlineStr">
        <is>
          <t>Tỷ giá giả định</t>
        </is>
      </c>
      <c r="B5" t="n">
        <v>26000</v>
      </c>
      <c r="C5" t="inlineStr">
        <is>
          <t>VND/USD</t>
        </is>
      </c>
      <c r="D5" t="inlineStr">
        <is>
          <t>Giả định của bài — thay bằng tỷ giá thực khi tái sử dụng mô hình</t>
        </is>
      </c>
    </row>
    <row r="6">
      <c r="A6" t="inlineStr">
        <is>
          <t>Biến thể HITL</t>
        </is>
      </c>
      <c r="B6" t="inlineStr">
        <is>
          <t>A</t>
        </is>
      </c>
      <c r="D6" t="inlineStr">
        <is>
          <t>Ta chịu QA nội bộ; ví chịu chi phí người xử lý ca escalate. Xem 1_Cost_Job §S7</t>
        </is>
      </c>
    </row>
    <row r="7">
      <c r="A7" t="inlineStr">
        <is>
          <t>Value Metric</t>
        </is>
      </c>
      <c r="B7" t="inlineStr">
        <is>
          <t>Hybrid</t>
        </is>
      </c>
      <c r="D7" t="inlineStr">
        <is>
          <t>Phí nền + 2 đơn giá theo ca HOÀN THÀNH. Xem 3_Value_Metric</t>
        </is>
      </c>
    </row>
    <row r="8">
      <c r="A8" t="inlineStr">
        <is>
          <t>Kênh 90 ngày đầu</t>
        </is>
      </c>
      <c r="B8" t="inlineStr">
        <is>
          <t>Sales-Led (named account)</t>
        </is>
      </c>
      <c r="D8" t="inlineStr">
        <is>
          <t>Xem 4_Channel_Fit</t>
        </is>
      </c>
    </row>
    <row r="9"/>
    <row r="10">
      <c r="A10" s="2" t="inlineStr">
        <is>
          <t>QUY ƯỚC MÀU</t>
        </is>
      </c>
    </row>
    <row r="11">
      <c r="A11" t="inlineStr">
        <is>
          <t>Vàng</t>
        </is>
      </c>
      <c r="B11" s="3" t="inlineStr"/>
      <c r="D11" t="inlineStr">
        <is>
          <t>Ô đầu vào — bạn điền</t>
        </is>
      </c>
    </row>
    <row r="12">
      <c r="A12" t="inlineStr">
        <is>
          <t>Xám</t>
        </is>
      </c>
      <c r="B12" s="4" t="inlineStr"/>
      <c r="D12" t="inlineStr">
        <is>
          <t>Công thức tự tính — không sửa</t>
        </is>
      </c>
    </row>
    <row r="13">
      <c r="A13" t="inlineStr">
        <is>
          <t>Xanh lá</t>
        </is>
      </c>
      <c r="B13" s="5" t="inlineStr"/>
      <c r="D13" t="inlineStr">
        <is>
          <t>Đạt ngưỡng</t>
        </is>
      </c>
    </row>
    <row r="14">
      <c r="A14" t="inlineStr">
        <is>
          <t>Đỏ</t>
        </is>
      </c>
      <c r="B14" s="6" t="inlineStr"/>
      <c r="D14" t="inlineStr">
        <is>
          <t>Không đạt — phải quay lại sửa giả định, không sửa giá cho đẹp</t>
        </is>
      </c>
    </row>
    <row r="15"/>
    <row r="16">
      <c r="A16" s="2" t="inlineStr">
        <is>
          <t>THỨ TỰ LÀM</t>
        </is>
      </c>
    </row>
    <row r="17">
      <c r="A17" t="inlineStr">
        <is>
          <t>1</t>
        </is>
      </c>
      <c r="B17" t="inlineStr">
        <is>
          <t>1_Cost_Job</t>
        </is>
      </c>
      <c r="D17" t="inlineStr">
        <is>
          <t>Định nghĩa job → khối lượng → 5 thành phần chi phí → Cost/Job</t>
        </is>
      </c>
    </row>
    <row r="18">
      <c r="A18" t="inlineStr">
        <is>
          <t>2</t>
        </is>
      </c>
      <c r="B18" t="inlineStr">
        <is>
          <t>2_Pricing</t>
        </is>
      </c>
      <c r="D18" t="inlineStr">
        <is>
          <t>Giá sàn (3x) · giá trần (neo giá trị) · Gross Margin · breakeven · độ nhạy</t>
        </is>
      </c>
    </row>
    <row r="19">
      <c r="A19" t="inlineStr">
        <is>
          <t>3</t>
        </is>
      </c>
      <c r="B19" t="inlineStr">
        <is>
          <t>3_Value_Metric</t>
        </is>
      </c>
      <c r="D19" t="inlineStr">
        <is>
          <t>Attribution × Autonomy → đơn vị tính tiền + 2 benchmark có link</t>
        </is>
      </c>
    </row>
    <row r="20">
      <c r="A20" t="inlineStr">
        <is>
          <t>4</t>
        </is>
      </c>
      <c r="B20" t="inlineStr">
        <is>
          <t>4_Channel_Fit</t>
        </is>
      </c>
      <c r="D20" t="inlineStr">
        <is>
          <t>Ngân sách CAC · deal/AE/ngày · cost-per-opportunity → chốt 1 kênh</t>
        </is>
      </c>
    </row>
    <row r="21">
      <c r="A21" t="inlineStr">
        <is>
          <t>5</t>
        </is>
      </c>
      <c r="B21" t="inlineStr">
        <is>
          <t>5_90Day_Plan</t>
        </is>
      </c>
      <c r="D21" t="inlineStr">
        <is>
          <t>Pain moment · kế hoạch 90 ngày · Evidence Pack</t>
        </is>
      </c>
    </row>
    <row r="22">
      <c r="A22" t="inlineStr">
        <is>
          <t>6</t>
        </is>
      </c>
      <c r="B22" t="inlineStr">
        <is>
          <t>6_Benchmarks</t>
        </is>
      </c>
      <c r="D22" t="inlineStr">
        <is>
          <t>Bảng giá tham chiếu có nguồn và ngày kiểm tra — chỉ đọc</t>
        </is>
      </c>
    </row>
    <row r="23"/>
    <row r="24">
      <c r="A24" s="2" t="inlineStr">
        <is>
          <t>ĐỌC TRƯỚC KHI XEM SỐ</t>
        </is>
      </c>
    </row>
    <row r="25">
      <c r="A25" s="7" t="inlineStr">
        <is>
          <t>Mô hình này CHƯA đủ điều kiện ký hợp đồng</t>
        </is>
      </c>
      <c r="D25" t="inlineStr">
        <is>
          <t>Ở trạng thái ĐO ĐƯỢC ngày 27/08/2026 (lượt sau-seed, có provenance), tỷ lệ mở đúng hồ sơ = 1,03% — 96/97 ca kỳ vọng bị bỏ sót. Ngưỡng sống của bảng giá này là 46,67%. Xem 2_Pricing mục BREAKEVEN. Các con số Gross Margin trong file là ở ĐIỂM VẬN HÀNH MỤC TIÊU, không phải ở trạng thái hôm nay.</t>
        </is>
      </c>
    </row>
    <row r="27">
      <c r="A27" s="2" t="inlineStr">
        <is>
          <t>ẢNH CHỤP GIÁ TRỊ TẠI NGÀY LẬP — 27/08/2026</t>
        </is>
      </c>
    </row>
    <row r="28">
      <c r="D28" s="11" t="inlineStr">
        <is>
          <t>Công thức SỐNG nằm ở các tab 1–4; đây chỉ là ảnh chụp để đọc được cả khi mở bằng trình xem không tính công thức. Nếu sửa ô vàng, hãy đọc số ở tab tương ứng chứ không đọc bảng này.</t>
        </is>
      </c>
    </row>
    <row r="29">
      <c r="A29" t="inlineStr">
        <is>
          <t>Cost/Job</t>
        </is>
      </c>
      <c r="B29" s="31" t="inlineStr">
        <is>
          <t>0,0627 $ = 1.629 ₫</t>
        </is>
      </c>
      <c r="C29" s="11" t="inlineStr">
        <is>
          <t>1_Cost_Job!B98</t>
        </is>
      </c>
      <c r="D29" s="11" t="inlineStr">
        <is>
          <t>chia cho 95.284 job HOÀN THÀNH</t>
        </is>
      </c>
    </row>
    <row r="30">
      <c r="A30" t="inlineStr">
        <is>
          <t>Nếu chia nhầm cho 140.000 ca đã thử</t>
        </is>
      </c>
      <c r="B30" s="31" t="inlineStr">
        <is>
          <t>0,0427 $</t>
        </is>
      </c>
      <c r="C30" s="11" t="inlineStr">
        <is>
          <t>1_Cost_Job!B100</t>
        </is>
      </c>
      <c r="D30" s="11" t="inlineStr">
        <is>
          <t>rẻ giả 31,9%</t>
        </is>
      </c>
    </row>
    <row r="31">
      <c r="A31" t="inlineStr">
        <is>
          <t>Tổng COGS / tháng</t>
        </is>
      </c>
      <c r="B31" s="31" t="inlineStr">
        <is>
          <t>5.971,53 $ = 155,3tr ₫</t>
        </is>
      </c>
      <c r="C31" s="11" t="inlineStr">
        <is>
          <t>1_Cost_Job!B96</t>
        </is>
      </c>
      <c r="D31" s="11" t="inlineStr">
        <is>
          <t>LLM 32,6% · Retry 2,3% · Infra 8,2% · HITL QA 45,1% · Khác 11,7%</t>
        </is>
      </c>
    </row>
    <row r="32">
      <c r="A32" t="inlineStr">
        <is>
          <t>Giá sàn = 3 × Cost/Job</t>
        </is>
      </c>
      <c r="B32" s="31" t="inlineStr">
        <is>
          <t>0,1880 $ = 4.888 ₫</t>
        </is>
      </c>
      <c r="C32" s="11" t="inlineStr">
        <is>
          <t>2_Pricing!B17</t>
        </is>
      </c>
      <c r="D32" s="11" t="inlineStr"/>
    </row>
    <row r="33">
      <c r="A33" t="inlineStr">
        <is>
          <t>Giá bán bình quân / job</t>
        </is>
      </c>
      <c r="B33" s="31" t="inlineStr">
        <is>
          <t>0,2309 $ = 6.004 ₫</t>
        </is>
      </c>
      <c r="C33" s="11" t="inlineStr">
        <is>
          <t>2_Pricing!B12</t>
        </is>
      </c>
      <c r="D33" s="11" t="inlineStr">
        <is>
          <t>NẰM TRONG VÙNG</t>
        </is>
      </c>
    </row>
    <row r="34">
      <c r="A34" t="inlineStr">
        <is>
          <t>Giá trần = 25% giá trị tạo ra</t>
        </is>
      </c>
      <c r="B34" s="31" t="inlineStr">
        <is>
          <t>0,3278 $ = 8.523 ₫</t>
        </is>
      </c>
      <c r="C34" s="11" t="inlineStr">
        <is>
          <t>2_Pricing!B24</t>
        </is>
      </c>
      <c r="D34" s="11" t="inlineStr"/>
    </row>
    <row r="35">
      <c r="A35" t="inlineStr">
        <is>
          <t>Doanh thu / ví / tháng</t>
        </is>
      </c>
      <c r="B35" s="31" t="inlineStr">
        <is>
          <t>22.002,46 $ = 572,1tr ₫</t>
        </is>
      </c>
      <c r="C35" s="11" t="inlineStr">
        <is>
          <t>2_Pricing!B10</t>
        </is>
      </c>
      <c r="D35" s="11" t="inlineStr">
        <is>
          <t>ta thu 17,6% giá trị · ROI khách 5,7x</t>
        </is>
      </c>
    </row>
    <row r="36">
      <c r="A36" t="inlineStr">
        <is>
          <t>Gross Margin</t>
        </is>
      </c>
      <c r="B36" s="31" t="inlineStr">
        <is>
          <t>72,86%</t>
        </is>
      </c>
      <c r="C36" s="11" t="inlineStr">
        <is>
          <t>2_Pricing!B33</t>
        </is>
      </c>
      <c r="D36" s="11" t="inlineStr">
        <is>
          <t>ĐẠT ngưỡng 60%</t>
        </is>
      </c>
    </row>
    <row r="37">
      <c r="A37" t="inlineStr">
        <is>
          <t>Giá bán / Cost/Job</t>
        </is>
      </c>
      <c r="B37" s="31" t="inlineStr">
        <is>
          <t>3,68x</t>
        </is>
      </c>
      <c r="C37" s="11" t="inlineStr">
        <is>
          <t>2_Pricing!B34</t>
        </is>
      </c>
      <c r="D37" s="11" t="inlineStr">
        <is>
          <t>ĐẠT ngưỡng 3,00x</t>
        </is>
      </c>
    </row>
    <row r="38">
      <c r="A38" t="inlineStr">
        <is>
          <t>Breakeven — hồ sơ duyệt-lần-đầu (3x)</t>
        </is>
      </c>
      <c r="B38" s="31" t="inlineStr">
        <is>
          <t>46,67%</t>
        </is>
      </c>
      <c r="C38" s="11" t="inlineStr">
        <is>
          <t>2_Pricing!B43</t>
        </is>
      </c>
      <c r="D38" s="11" t="inlineStr">
        <is>
          <t>ĐO THẬT 27/08/2026 = 1,03% → CHƯA ĐẠT</t>
        </is>
      </c>
    </row>
    <row r="39">
      <c r="A39" t="inlineStr">
        <is>
          <t>Breakeven — hồ sơ duyệt-lần-đầu (GM 60%)</t>
        </is>
      </c>
      <c r="B39" s="31" t="inlineStr">
        <is>
          <t>28,89%</t>
        </is>
      </c>
      <c r="C39" s="11" t="inlineStr">
        <is>
          <t>2_Pricing!B44</t>
        </is>
      </c>
      <c r="D39" s="11" t="inlineStr"/>
    </row>
    <row r="40">
      <c r="A40" t="inlineStr">
        <is>
          <t>Gross Margin ở Biến thể B</t>
        </is>
      </c>
      <c r="B40" s="31" t="inlineStr">
        <is>
          <t>−61,27%</t>
        </is>
      </c>
      <c r="C40" s="11" t="inlineStr">
        <is>
          <t>2_Pricing!B55</t>
        </is>
      </c>
      <c r="D40" s="11" t="inlineStr">
        <is>
          <t>cần tỷ lệ hoàn thành 94,1% mới về 60%</t>
        </is>
      </c>
    </row>
    <row r="41">
      <c r="A41" t="inlineStr">
        <is>
          <t>Điểm Attribution / Autonomy</t>
        </is>
      </c>
      <c r="B41" s="31" t="inlineStr">
        <is>
          <t>2/5 và 1/5</t>
        </is>
      </c>
      <c r="C41" s="11" t="inlineStr">
        <is>
          <t>3_Value_Metric!B9,B18</t>
        </is>
      </c>
      <c r="D41" s="11" t="inlineStr">
        <is>
          <t>ma trận trỏ SEAT/HYBRID</t>
        </is>
      </c>
    </row>
    <row r="42">
      <c r="A42" t="inlineStr">
        <is>
          <t>Ngân sách CAC</t>
        </is>
      </c>
      <c r="B42" s="31" t="inlineStr">
        <is>
          <t>384.742 $</t>
        </is>
      </c>
      <c r="C42" s="11" t="inlineStr">
        <is>
          <t>4_Channel_Fit!B8</t>
        </is>
      </c>
      <c r="D42" s="11" t="inlineStr">
        <is>
          <t>CAC thực tế 44.800 $ → dư 8,59x</t>
        </is>
      </c>
    </row>
    <row r="43">
      <c r="A43" t="inlineStr">
        <is>
          <t>CAC payback · LTV/CAC</t>
        </is>
      </c>
      <c r="B43" s="31" t="inlineStr">
        <is>
          <t>2,79 tháng · 17,9x</t>
        </is>
      </c>
      <c r="C43" s="11" t="inlineStr">
        <is>
          <t>4_Channel_Fit!B28,B31</t>
        </is>
      </c>
      <c r="D43" s="11" t="inlineStr">
        <is>
          <t>ĐẠT cả hai</t>
        </is>
      </c>
    </row>
    <row r="44">
      <c r="A44" t="inlineStr">
        <is>
          <t>Deal / AE / ngày làm việc</t>
        </is>
      </c>
      <c r="B44" s="31" t="inlineStr">
        <is>
          <t>0,0012</t>
        </is>
      </c>
      <c r="C44" s="11" t="inlineStr">
        <is>
          <t>4_Channel_Fit!B18</t>
        </is>
      </c>
      <c r="D44" s="11" t="inlineStr">
        <is>
          <t>Sales-Led khả thi về số học</t>
        </is>
      </c>
    </row>
  </sheetData>
  <mergeCells count="5">
    <mergeCell ref="A1:D1"/>
    <mergeCell ref="A27:D27"/>
    <mergeCell ref="A24:D24"/>
    <mergeCell ref="A16:D16"/>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outlineLevelCol="0"/>
  <cols>
    <col width="48" customWidth="1" min="1" max="1"/>
    <col width="18" customWidth="1" min="2" max="2"/>
    <col width="14" customWidth="1" min="3" max="3"/>
    <col width="95" customWidth="1" min="4" max="4"/>
  </cols>
  <sheetData>
    <row r="1" ht="24" customHeight="1">
      <c r="A1" s="1" t="inlineStr">
        <is>
          <t>1_Cost_Job — Chi phi that cho MOT job hoan thanh</t>
        </is>
      </c>
    </row>
    <row r="3">
      <c r="A3" s="2" t="inlineStr">
        <is>
          <t>S1 · ĐỊNH NGHĨA JOB</t>
        </is>
      </c>
    </row>
    <row r="4">
      <c r="A4" t="inlineStr">
        <is>
          <t>1 job =</t>
        </is>
      </c>
      <c r="B4" s="8" t="inlineStr">
        <is>
          <t>Một ca CSKH được WalletCare đưa đến trạng thái kết thúc mà ví KHÔNG phải điều tra lại</t>
        </is>
      </c>
      <c r="C4" s="9" t="n"/>
      <c r="D4" s="10" t="n"/>
    </row>
    <row r="5">
      <c r="A5" t="inlineStr">
        <is>
          <t>Đường 1 — Contained</t>
        </is>
      </c>
      <c r="B5" s="11" t="inlineStr">
        <is>
          <t>Agent tự giải quyết với khách; khách không mở lại trong 72 giờ (email) / 2 giờ (chat). Cửa sổ mở lại lấy theo cách Zendesk định nghĩa automated resolution.</t>
        </is>
      </c>
    </row>
    <row r="6">
      <c r="A6" t="inlineStr">
        <is>
          <t>Đường 2 — Dossier</t>
        </is>
      </c>
      <c r="B6" s="11" t="inlineStr">
        <is>
          <t>Agent giao hồ sơ điều tra; sếp ví ra quyết định cuối NGAY LẦN TRÌNH ĐẦU — không bấm 'yêu cầu điều tra thêm'.</t>
        </is>
      </c>
    </row>
    <row r="7">
      <c r="A7" t="inlineStr">
        <is>
          <t>KHÔNG tính là job</t>
        </is>
      </c>
      <c r="B7" s="11" t="inlineStr">
        <is>
          <t>Ca chuyển ra người ngay từ đầu · hồ sơ bị trả về · lỗi kỹ thuật · khách bỏ ngang. Không tính tiền cho những ca này.</t>
        </is>
      </c>
    </row>
    <row r="8">
      <c r="A8" t="inlineStr">
        <is>
          <t>Đếm tự động được không?</t>
        </is>
      </c>
      <c r="B8" s="11" t="inlineStr">
        <is>
          <t>Được. Cả hai đều là state transition trong máy trạng thái ticket của ví: approval_decision_recorded (Day 23 §03) và bộ đếm cửa sổ mở lại.</t>
        </is>
      </c>
    </row>
    <row r="9">
      <c r="A9" t="inlineStr">
        <is>
          <t>Vì sao không định nghĩa hẹp hơn</t>
        </is>
      </c>
      <c r="B9" s="11" t="inlineStr">
        <is>
          <t>Nếu chỉ tính ca AI tự đóng, ta coi 26% lưu lượng khiếu nại là 'job hỏng' — trong khi hồ sơ điều tra chính là sản phẩm mà ví mua. Nếu định nghĩa rộng hơn ('khách hài lòng') thì không đếm được.</t>
        </is>
      </c>
    </row>
    <row r="11">
      <c r="A11" s="2" t="inlineStr">
        <is>
          <t>S2 · KHỐI LƯỢNG &amp; TỶ LỆ HOÀN THÀNH  (1 hợp đồng ví hạng trung / tháng)</t>
        </is>
      </c>
    </row>
    <row r="12">
      <c r="A12" t="inlineStr">
        <is>
          <t>Tổng hội thoại vào / tháng</t>
        </is>
      </c>
      <c r="B12" s="12" t="n">
        <v>140000</v>
      </c>
      <c r="C12" t="inlineStr">
        <is>
          <t>ca</t>
        </is>
      </c>
      <c r="D12" s="11" t="inlineStr">
        <is>
          <t>5tr MAU × 4% contact rate × 70% trong phạm vi (kế thừa giả định Day 24)</t>
        </is>
      </c>
    </row>
    <row r="13">
      <c r="A13" t="inlineStr">
        <is>
          <t>% Lớp A — tra cứu / hỗ trợ tự phục vụ</t>
        </is>
      </c>
      <c r="B13" s="13" t="n">
        <v>0.62</v>
      </c>
      <c r="D13" s="11" t="inlineStr">
        <is>
          <t>Ước tính từ phân bố 118 ca golden set. CHƯA đo trên lưu lượng thật — xem 5_90Day_Plan T1</t>
        </is>
      </c>
    </row>
    <row r="14">
      <c r="A14" t="inlineStr">
        <is>
          <t>% Lớp B — khiếu nại giao dịch (bắt buộc HITL)</t>
        </is>
      </c>
      <c r="B14" s="13" t="n">
        <v>0.26</v>
      </c>
      <c r="D14" s="11" t="inlineStr">
        <is>
          <t>5 loại khiếu nại × 3 phạm vi giao dịch (Brief §6)</t>
        </is>
      </c>
    </row>
    <row r="15">
      <c r="A15" t="inlineStr">
        <is>
          <t>% Lớp C — ngoài phạm vi, chuyển người ngay</t>
        </is>
      </c>
      <c r="B15" s="13" t="n">
        <v>0.12</v>
      </c>
      <c r="D15" s="11" t="inlineStr"/>
    </row>
    <row r="16">
      <c r="A16" t="inlineStr">
        <is>
          <t>Số ca lớp A</t>
        </is>
      </c>
      <c r="B16" s="14">
        <f>B12*B13</f>
        <v/>
      </c>
      <c r="C16" t="inlineStr">
        <is>
          <t>ca</t>
        </is>
      </c>
      <c r="D16" s="11" t="inlineStr"/>
    </row>
    <row r="17">
      <c r="A17" t="inlineStr">
        <is>
          <t>Số ca lớp B</t>
        </is>
      </c>
      <c r="B17" s="14">
        <f>B12*B14</f>
        <v/>
      </c>
      <c r="C17" t="inlineStr">
        <is>
          <t>ca</t>
        </is>
      </c>
      <c r="D17" s="11" t="inlineStr"/>
    </row>
    <row r="18">
      <c r="A18" t="inlineStr">
        <is>
          <t>Số ca lớp C</t>
        </is>
      </c>
      <c r="B18" s="14">
        <f>B12*B15</f>
        <v/>
      </c>
      <c r="C18" t="inlineStr">
        <is>
          <t>ca</t>
        </is>
      </c>
      <c r="D18" s="11" t="inlineStr"/>
    </row>
    <row r="19">
      <c r="A19" t="inlineStr">
        <is>
          <t>Kiểm tra tổng mix</t>
        </is>
      </c>
      <c r="B19" s="15">
        <f>B13+B14+B15</f>
        <v/>
      </c>
      <c r="D19" s="11" t="inlineStr">
        <is>
          <t>Phải bằng 100%</t>
        </is>
      </c>
    </row>
    <row r="20">
      <c r="A20" t="inlineStr">
        <is>
          <t>Containment lớp A (AI tự giải quyết xong)</t>
        </is>
      </c>
      <c r="B20" s="13" t="n">
        <v>0.8</v>
      </c>
      <c r="D20" s="11" t="inlineStr">
        <is>
          <t>GIẢ ĐỊNH mục tiêu pilot — CHƯA đo. Bộ eval hiện chấm 2 mức (vi phạm chặn + tuân thủ hợp đồng), không chấm resolution.</t>
        </is>
      </c>
    </row>
    <row r="21">
      <c r="A21" t="inlineStr">
        <is>
          <t>Tỷ lệ hồ sơ được duyệt ngay lần trình đầu</t>
        </is>
      </c>
      <c r="B21" s="13" t="n">
        <v>0.71</v>
      </c>
      <c r="D21" s="11" t="inlineStr">
        <is>
          <t>GIẢ ĐỊNH mục tiêu. ĐO THẬT 27/08/2026 = 1,03% (1/97). Chẩn đoán trong file chấm: nguyên nhân HỆ THỐNG — business_config rỗng nên prompt rơi về khung chung, không phải model yếu.</t>
        </is>
      </c>
    </row>
    <row r="22">
      <c r="A22" t="inlineStr">
        <is>
          <t>Job hoàn thành — đường Contained</t>
        </is>
      </c>
      <c r="B22" s="14">
        <f>B16*B20</f>
        <v/>
      </c>
      <c r="C22" t="inlineStr">
        <is>
          <t>job</t>
        </is>
      </c>
      <c r="D22" s="11" t="inlineStr"/>
    </row>
    <row r="23">
      <c r="A23" t="inlineStr">
        <is>
          <t>Job hoàn thành — đường Dossier</t>
        </is>
      </c>
      <c r="B23" s="14">
        <f>B17*B21</f>
        <v/>
      </c>
      <c r="C23" t="inlineStr">
        <is>
          <t>job</t>
        </is>
      </c>
      <c r="D23" s="11" t="inlineStr"/>
    </row>
    <row r="24">
      <c r="A24" s="16" t="inlineStr">
        <is>
          <t>SO JOB HOAN THANH (mau so)</t>
        </is>
      </c>
      <c r="B24" s="17">
        <f>B22+B23</f>
        <v/>
      </c>
      <c r="C24" t="inlineStr">
        <is>
          <t>job</t>
        </is>
      </c>
      <c r="D24" s="11" t="inlineStr">
        <is>
          <t>KHÔNG dùng 140.000 ca đã thử làm mẫu số</t>
        </is>
      </c>
    </row>
    <row r="25">
      <c r="A25" t="inlineStr">
        <is>
          <t>Tỷ lệ hoàn thành job</t>
        </is>
      </c>
      <c r="B25" s="18">
        <f>B24/B12</f>
        <v/>
      </c>
      <c r="D25" s="11" t="inlineStr"/>
    </row>
    <row r="27">
      <c r="A27" s="2" t="inlineStr">
        <is>
          <t>S3 · LLM — deepseek-v4-flash (giá kiểm tra 27/08/2026, USD / 1M token)</t>
        </is>
      </c>
    </row>
    <row r="28">
      <c r="A28" t="inlineStr">
        <is>
          <t>% lưu lượng rơi vào khung PEAK</t>
        </is>
      </c>
      <c r="B28" s="13" t="n">
        <v>0.65</v>
      </c>
      <c r="D28" s="11" t="inlineStr">
        <is>
          <t>Peak 01–04h và 06–10h UTC = 08–11h và 13–17h giờ VN — TRÙNG giờ hành chính VN. Đây là rủi ro giá đặc thù của nhà cung cấp này.</t>
        </is>
      </c>
    </row>
    <row r="29">
      <c r="A29" t="inlineStr">
        <is>
          <t>Giá cache-hit — peak</t>
        </is>
      </c>
      <c r="B29" s="19" t="n">
        <v>0.014</v>
      </c>
      <c r="C29" t="inlineStr">
        <is>
          <t>$/1M</t>
        </is>
      </c>
      <c r="D29" s="11" t="inlineStr"/>
    </row>
    <row r="30">
      <c r="A30" t="inlineStr">
        <is>
          <t>Giá cache-hit — off-peak</t>
        </is>
      </c>
      <c r="B30" s="19" t="n">
        <v>0.007</v>
      </c>
      <c r="C30" t="inlineStr">
        <is>
          <t>$/1M</t>
        </is>
      </c>
      <c r="D30" s="11" t="inlineStr"/>
    </row>
    <row r="31">
      <c r="A31" t="inlineStr">
        <is>
          <t>Giá cache-miss — peak</t>
        </is>
      </c>
      <c r="B31" s="19" t="n">
        <v>0.44</v>
      </c>
      <c r="C31" t="inlineStr">
        <is>
          <t>$/1M</t>
        </is>
      </c>
      <c r="D31" s="11" t="inlineStr"/>
    </row>
    <row r="32">
      <c r="A32" t="inlineStr">
        <is>
          <t>Giá cache-miss — off-peak</t>
        </is>
      </c>
      <c r="B32" s="19" t="n">
        <v>0.22</v>
      </c>
      <c r="C32" t="inlineStr">
        <is>
          <t>$/1M</t>
        </is>
      </c>
      <c r="D32" s="11" t="inlineStr"/>
    </row>
    <row r="33">
      <c r="A33" t="inlineStr">
        <is>
          <t>Giá output — peak</t>
        </is>
      </c>
      <c r="B33" s="19" t="n">
        <v>1.32</v>
      </c>
      <c r="C33" t="inlineStr">
        <is>
          <t>$/1M</t>
        </is>
      </c>
      <c r="D33" s="11" t="inlineStr"/>
    </row>
    <row r="34">
      <c r="A34" t="inlineStr">
        <is>
          <t>Giá output — off-peak</t>
        </is>
      </c>
      <c r="B34" s="19" t="n">
        <v>0.66</v>
      </c>
      <c r="C34" t="inlineStr">
        <is>
          <t>$/1M</t>
        </is>
      </c>
      <c r="D34" s="11" t="inlineStr"/>
    </row>
    <row r="35">
      <c r="A35" t="inlineStr">
        <is>
          <t>Giá cache-hit hoà theo lưu lượng</t>
        </is>
      </c>
      <c r="B35" s="20">
        <f>B28*B29+(1-B28)*B30</f>
        <v/>
      </c>
      <c r="C35" t="inlineStr">
        <is>
          <t>$/1M</t>
        </is>
      </c>
      <c r="D35" s="11" t="inlineStr"/>
    </row>
    <row r="36">
      <c r="A36" t="inlineStr">
        <is>
          <t>Giá cache-miss hoà theo lưu lượng</t>
        </is>
      </c>
      <c r="B36" s="20">
        <f>B28*B31+(1-B28)*B32</f>
        <v/>
      </c>
      <c r="C36" t="inlineStr">
        <is>
          <t>$/1M</t>
        </is>
      </c>
      <c r="D36" s="11" t="inlineStr"/>
    </row>
    <row r="37">
      <c r="A37" t="inlineStr">
        <is>
          <t>Giá output hoà theo lưu lượng</t>
        </is>
      </c>
      <c r="B37" s="20">
        <f>B28*B33+(1-B28)*B34</f>
        <v/>
      </c>
      <c r="C37" t="inlineStr">
        <is>
          <t>$/1M</t>
        </is>
      </c>
      <c r="D37" s="11" t="inlineStr"/>
    </row>
    <row r="38">
      <c r="A38" t="inlineStr">
        <is>
          <t>Prefix cache được (system prompt + tool schema)</t>
        </is>
      </c>
      <c r="B38" s="12" t="n">
        <v>6500</v>
      </c>
      <c r="C38" t="inlineStr">
        <is>
          <t>token</t>
        </is>
      </c>
      <c r="D38" s="11" t="inlineStr">
        <is>
          <t>prompt.py lắp động 9 khối + 7 tool schema; phần ổn định được cache prefix</t>
        </is>
      </c>
    </row>
    <row r="40">
      <c r="A40" s="2" t="inlineStr">
        <is>
          <t>S3b · TOKEN MỖI CA THEO LỚP   (AGENT_MAX_STEPS=8 · agent_history_turns=6 · trần 120.000 token/hội thoại — lấy từ config và _meta lượt chạy 26–27/08/2026)</t>
        </is>
      </c>
    </row>
    <row r="41">
      <c r="A41" s="2" t="inlineStr">
        <is>
          <t>Lớp</t>
        </is>
      </c>
      <c r="B41" s="2" t="inlineStr">
        <is>
          <t>Số lượt gọi LLM</t>
        </is>
      </c>
      <c r="C41" s="2" t="inlineStr">
        <is>
          <t>Token fresh / lượt</t>
        </is>
      </c>
      <c r="D41" s="2" t="inlineStr">
        <is>
          <t>Token output / lượt</t>
        </is>
      </c>
    </row>
    <row r="42">
      <c r="A42" t="inlineStr">
        <is>
          <t>A — tra cứu / hỗ trợ</t>
        </is>
      </c>
      <c r="B42" s="12" t="n">
        <v>8</v>
      </c>
      <c r="C42" s="12" t="n">
        <v>1800</v>
      </c>
      <c r="D42" s="12" t="n">
        <v>220</v>
      </c>
    </row>
    <row r="43">
      <c r="A43" t="inlineStr">
        <is>
          <t>B — khiếu nại (điều tra đa bước)</t>
        </is>
      </c>
      <c r="B43" s="12" t="n">
        <v>16</v>
      </c>
      <c r="C43" s="12" t="n">
        <v>3200</v>
      </c>
      <c r="D43" s="12" t="n">
        <v>320</v>
      </c>
    </row>
    <row r="44">
      <c r="A44" t="inlineStr">
        <is>
          <t>C — ngoài phạm vi</t>
        </is>
      </c>
      <c r="B44" s="12" t="n">
        <v>3</v>
      </c>
      <c r="C44" s="12" t="n">
        <v>1200</v>
      </c>
      <c r="D44" s="12" t="n">
        <v>150</v>
      </c>
    </row>
    <row r="46">
      <c r="A46" s="2" t="inlineStr">
        <is>
          <t>Chi phí LLM cho 1 ca</t>
        </is>
      </c>
      <c r="B46" s="2" t="inlineStr">
        <is>
          <t>Token cache-hit</t>
        </is>
      </c>
      <c r="C46" s="2" t="inlineStr">
        <is>
          <t>Token cache-miss</t>
        </is>
      </c>
      <c r="D46" s="2" t="inlineStr">
        <is>
          <t>USD / ca</t>
        </is>
      </c>
    </row>
    <row r="47">
      <c r="A47" t="inlineStr">
        <is>
          <t>Lớp A</t>
        </is>
      </c>
      <c r="B47" s="14">
        <f>(B42-1)*B38</f>
        <v/>
      </c>
      <c r="C47" s="14">
        <f>B38+B42*C42</f>
        <v/>
      </c>
      <c r="D47" s="20">
        <f>(B47*B35+C47*B36+B42*D42*B37)/1000000</f>
        <v/>
      </c>
    </row>
    <row r="48">
      <c r="A48" t="inlineStr">
        <is>
          <t>Lớp B</t>
        </is>
      </c>
      <c r="B48" s="14">
        <f>(B43-1)*B38</f>
        <v/>
      </c>
      <c r="C48" s="14">
        <f>B38+B43*C43</f>
        <v/>
      </c>
      <c r="D48" s="20">
        <f>(B48*B35+C48*B36+B43*D43*B37)/1000000</f>
        <v/>
      </c>
    </row>
    <row r="49">
      <c r="A49" t="inlineStr">
        <is>
          <t>Lớp C</t>
        </is>
      </c>
      <c r="B49" s="14">
        <f>(B44-1)*B38</f>
        <v/>
      </c>
      <c r="C49" s="14">
        <f>B38+B44*C44</f>
        <v/>
      </c>
      <c r="D49" s="20">
        <f>(B49*B35+C49*B36+B44*D44*B37)/1000000</f>
        <v/>
      </c>
    </row>
    <row r="51">
      <c r="A51" s="16" t="inlineStr">
        <is>
          <t>TONG CHI PHI LLM / thang</t>
        </is>
      </c>
      <c r="B51" s="21">
        <f>B16*D47+B17*D48+B18*D49</f>
        <v/>
      </c>
      <c r="C51" t="inlineStr">
        <is>
          <t>USD</t>
        </is>
      </c>
      <c r="D51" s="11" t="inlineStr"/>
    </row>
    <row r="52">
      <c r="A52" t="inlineStr">
        <is>
          <t>Nếu KHÔNG bật prompt caching</t>
        </is>
      </c>
      <c r="B52" s="22">
        <f>(B16*((B38+C42)*B42*B36+B42*D42*B37)+B17*((B38+C43)*B43*B36+B43*D43*B37)+B18*((B38+C44)*B44*B36+B44*D44*B37))/1000000</f>
        <v/>
      </c>
      <c r="C52" t="inlineStr">
        <is>
          <t>USD</t>
        </is>
      </c>
      <c r="D52" s="11" t="inlineStr"/>
    </row>
    <row r="53">
      <c r="A53" t="inlineStr">
        <is>
          <t>Caching cắt được bao nhiêu chi phí LLM</t>
        </is>
      </c>
      <c r="B53" s="18">
        <f>1-B51/B52</f>
        <v/>
      </c>
      <c r="D53" s="11" t="inlineStr"/>
    </row>
    <row r="55">
      <c r="A55" s="2" t="inlineStr">
        <is>
          <t>S4 · SPEECH (STT / TTS)</t>
        </is>
      </c>
    </row>
    <row r="56">
      <c r="A56" t="inlineStr">
        <is>
          <t>Không áp dụng — để trống CÓ LÝ DO</t>
        </is>
      </c>
      <c r="B56" s="22" t="n">
        <v>0</v>
      </c>
      <c r="C56" t="inlineStr">
        <is>
          <t>USD</t>
        </is>
      </c>
      <c r="D56" s="11" t="inlineStr">
        <is>
          <t>WalletCare v1 chỉ có kênh chat trong app ví — Brief §6 ghi rõ 'chỉ web, tiếng Việt'. Kênh thoại nằm ngoài phạm vi bản này.</t>
        </is>
      </c>
    </row>
    <row r="58">
      <c r="A58" s="2" t="inlineStr">
        <is>
          <t>S5 · INFRA</t>
        </is>
      </c>
    </row>
    <row r="59">
      <c r="A59" t="inlineStr">
        <is>
          <t>App compute (FastAPI + LangGraph, ~7 giây CPU/ca)</t>
        </is>
      </c>
      <c r="B59" s="19" t="n">
        <v>0.0012</v>
      </c>
      <c r="C59" t="inlineStr">
        <is>
          <t>$/ca</t>
        </is>
      </c>
      <c r="D59" s="11" t="inlineStr">
        <is>
          <t>Latency p50 đo được 6,17 giây ở lượt 15/08/2026</t>
        </is>
      </c>
    </row>
    <row r="60">
      <c r="A60" t="inlineStr">
        <is>
          <t>Postgres + checkpoint LangGraph + trace spans</t>
        </is>
      </c>
      <c r="B60" s="19" t="n">
        <v>0.0009</v>
      </c>
      <c r="C60" t="inlineStr">
        <is>
          <t>$/ca</t>
        </is>
      </c>
      <c r="D60" s="11" t="inlineStr"/>
    </row>
    <row r="61">
      <c r="A61" t="inlineStr">
        <is>
          <t>pgvector + embedding truy hồi KB</t>
        </is>
      </c>
      <c r="B61" s="19" t="n">
        <v>0.0005999999999999999</v>
      </c>
      <c r="C61" t="inlineStr">
        <is>
          <t>$/ca</t>
        </is>
      </c>
      <c r="D61" s="11" t="inlineStr"/>
    </row>
    <row r="62">
      <c r="A62" t="inlineStr">
        <is>
          <t>Object storage + log giữ 90 ngày (mã hoá)</t>
        </is>
      </c>
      <c r="B62" s="19" t="n">
        <v>0.0005</v>
      </c>
      <c r="C62" t="inlineStr">
        <is>
          <t>$/ca</t>
        </is>
      </c>
      <c r="D62" s="11" t="inlineStr">
        <is>
          <t>Bắt buộc theo cam kết Evidence Pack, không phải tuỳ chọn</t>
        </is>
      </c>
    </row>
    <row r="63">
      <c r="A63" t="inlineStr">
        <is>
          <t>Observability + lấy mẫu eval</t>
        </is>
      </c>
      <c r="B63" s="19" t="n">
        <v>0.0003</v>
      </c>
      <c r="C63" t="inlineStr">
        <is>
          <t>$/ca</t>
        </is>
      </c>
      <c r="D63" s="11" t="inlineStr"/>
    </row>
    <row r="64">
      <c r="A64" t="inlineStr">
        <is>
          <t>Infra / ca</t>
        </is>
      </c>
      <c r="B64" s="20">
        <f>B59+B60+B61+B62+B63</f>
        <v/>
      </c>
      <c r="C64" t="inlineStr">
        <is>
          <t>$/ca</t>
        </is>
      </c>
      <c r="D64" s="11" t="inlineStr"/>
    </row>
    <row r="65">
      <c r="A65" s="16" t="inlineStr">
        <is>
          <t>TONG INFRA / thang</t>
        </is>
      </c>
      <c r="B65" s="21">
        <f>B12*B64</f>
        <v/>
      </c>
      <c r="C65" t="inlineStr">
        <is>
          <t>USD</t>
        </is>
      </c>
      <c r="D65" s="11" t="inlineStr"/>
    </row>
    <row r="67">
      <c r="A67" s="2" t="inlineStr">
        <is>
          <t>S6 · RETRY</t>
        </is>
      </c>
    </row>
    <row r="68">
      <c r="A68" t="inlineStr">
        <is>
          <t>% lượt phải gọi lại (timeout / kết quả hỏng)</t>
        </is>
      </c>
      <c r="B68" s="13" t="n">
        <v>0.07000000000000001</v>
      </c>
      <c r="D68" s="11" t="inlineStr">
        <is>
          <t>ƯỚC TÍNH. Eval 15/08 chạy 118/118 ca không lỗi HTTP, nhưng ở tải demo chứ không phải tải sản xuất. Để 0% là sai.</t>
        </is>
      </c>
    </row>
    <row r="69">
      <c r="A69" s="16" t="inlineStr">
        <is>
          <t>TONG RETRY / thang</t>
        </is>
      </c>
      <c r="B69" s="21">
        <f>B51*B68</f>
        <v/>
      </c>
      <c r="C69" t="inlineStr">
        <is>
          <t>USD</t>
        </is>
      </c>
      <c r="D69" s="11" t="inlineStr"/>
    </row>
    <row r="71">
      <c r="A71" s="2" t="inlineStr">
        <is>
          <t>S7 · HITL — CHỌN BIẾN THỂ</t>
        </is>
      </c>
    </row>
    <row r="72">
      <c r="A72" t="inlineStr">
        <is>
          <t>Biến thể đang dùng</t>
        </is>
      </c>
      <c r="B72" s="23" t="inlineStr">
        <is>
          <t>A</t>
        </is>
      </c>
      <c r="D72" s="11" t="inlineStr">
        <is>
          <t>A = ta bán phần mềm, ví tự xử lý ca escalate, nên chỉ QA nội bộ của ta vào COGS. Lý do không phải tiết kiệm: HITL của FIN-05 LÀ NGƯỜI CỦA VÍ — CSKH tiếp nhận, sếp duyệt (Brief §7.1, §7.5). Đó là ràng buộc tuân thủ, ta không được phép nhận việc đó. Biến thể B mô phỏng ở 2_Pricing.</t>
        </is>
      </c>
    </row>
    <row r="73">
      <c r="A73" t="inlineStr">
        <is>
          <t>% hội thoại QA nội bộ review</t>
        </is>
      </c>
      <c r="B73" s="13" t="n">
        <v>0.1</v>
      </c>
      <c r="D73" s="11" t="inlineStr">
        <is>
          <t>Rà soát chăn đều ở giai đoạn pilot — sản phẩm nói về TIỀN của khách</t>
        </is>
      </c>
    </row>
    <row r="74">
      <c r="A74" t="inlineStr">
        <is>
          <t>Phút / lần review</t>
        </is>
      </c>
      <c r="B74" s="24" t="n">
        <v>3.5</v>
      </c>
      <c r="C74" t="inlineStr">
        <is>
          <t>phút</t>
        </is>
      </c>
      <c r="D74" s="11" t="inlineStr"/>
    </row>
    <row r="75">
      <c r="A75" t="inlineStr">
        <is>
          <t>Đơn giá lao động QA (fully-loaded)</t>
        </is>
      </c>
      <c r="B75" s="25" t="n">
        <v>3.3</v>
      </c>
      <c r="C75" t="inlineStr">
        <is>
          <t>$/giờ</t>
        </is>
      </c>
      <c r="D75" s="11" t="inlineStr">
        <is>
          <t>15tr VND/tháng ÷ 176 giờ ≈ 85.000 VND/giờ. KHÔNG dùng 9 $/giờ của ví dụ mẫu — đó là giá offshore, không phải giá VN.</t>
        </is>
      </c>
    </row>
    <row r="76">
      <c r="A76" t="inlineStr">
        <is>
          <t>Số lần review / tháng</t>
        </is>
      </c>
      <c r="B76" s="14">
        <f>B12*B73</f>
        <v/>
      </c>
      <c r="C76" t="inlineStr">
        <is>
          <t>lần</t>
        </is>
      </c>
      <c r="D76" s="11" t="inlineStr"/>
    </row>
    <row r="77">
      <c r="A77" t="inlineStr">
        <is>
          <t>Giờ QA / tháng</t>
        </is>
      </c>
      <c r="B77" s="26">
        <f>B76*B74/60</f>
        <v/>
      </c>
      <c r="C77" t="inlineStr">
        <is>
          <t>giờ</t>
        </is>
      </c>
      <c r="D77" s="11" t="inlineStr"/>
    </row>
    <row r="78">
      <c r="A78" t="inlineStr">
        <is>
          <t>Quy ra FTE</t>
        </is>
      </c>
      <c r="B78" s="27">
        <f>B77/176</f>
        <v/>
      </c>
      <c r="C78" t="inlineStr">
        <is>
          <t>FTE</t>
        </is>
      </c>
      <c r="D78" s="11" t="inlineStr">
        <is>
          <t>Gần 5 người cho MỘT hợp đồng — đây là biến chặn scale, không phải token</t>
        </is>
      </c>
    </row>
    <row r="79">
      <c r="A79" s="16" t="inlineStr">
        <is>
          <t>TONG HITL (QA noi bo) / thang</t>
        </is>
      </c>
      <c r="B79" s="21">
        <f>B77*B75</f>
        <v/>
      </c>
      <c r="C79" t="inlineStr">
        <is>
          <t>USD</t>
        </is>
      </c>
      <c r="D79" s="11" t="inlineStr"/>
    </row>
    <row r="81">
      <c r="A81" s="2" t="inlineStr">
        <is>
          <t>S7b · CHI PHÍ PHỤC VỤ KHÁCH KHÁC — vẫn thuộc COGS</t>
        </is>
      </c>
    </row>
    <row r="82">
      <c r="A82" t="inlineStr">
        <is>
          <t>Chạy lại bộ eval 118 ca + judge, 4 lần/tháng</t>
        </is>
      </c>
      <c r="B82" s="25" t="n">
        <v>23</v>
      </c>
      <c r="C82" t="inlineStr">
        <is>
          <t>USD</t>
        </is>
      </c>
      <c r="D82" s="11" t="inlineStr">
        <is>
          <t>Judge tốn ~220k token cho 118 ca. Không chạy eval thì không có Attribution; không có Attribution thì không được bán.</t>
        </is>
      </c>
    </row>
    <row r="83">
      <c r="A83" t="inlineStr">
        <is>
          <t>CSM / solutions 0,4 FTE cho hợp đồng này</t>
        </is>
      </c>
      <c r="B83" s="25" t="n">
        <v>461.54</v>
      </c>
      <c r="C83" t="inlineStr">
        <is>
          <t>USD</t>
        </is>
      </c>
      <c r="D83" s="11" t="inlineStr">
        <is>
          <t>30tr VND/tháng × 0,4</t>
        </is>
      </c>
    </row>
    <row r="84">
      <c r="A84" t="inlineStr">
        <is>
          <t>Compliance và kiểm định phân bổ</t>
        </is>
      </c>
      <c r="B84" s="25" t="n">
        <v>120.19</v>
      </c>
      <c r="C84" t="inlineStr">
        <is>
          <t>USD</t>
        </is>
      </c>
      <c r="D84" s="11" t="inlineStr">
        <is>
          <t>300tr VND ÷ 24 tháng ÷ 4 hợp đồng</t>
        </is>
      </c>
    </row>
    <row r="85">
      <c r="A85" t="inlineStr">
        <is>
          <t>Bảo trì prompt / skill / guard</t>
        </is>
      </c>
      <c r="B85" s="25" t="n">
        <v>96.15000000000001</v>
      </c>
      <c r="C85" t="inlineStr">
        <is>
          <t>USD</t>
        </is>
      </c>
      <c r="D85" s="11" t="inlineStr">
        <is>
          <t>20% chi phí build mỗi năm ÷ 4 hợp đồng</t>
        </is>
      </c>
    </row>
    <row r="86">
      <c r="A86" s="16" t="inlineStr">
        <is>
          <t>CONG KHAC</t>
        </is>
      </c>
      <c r="B86" s="21">
        <f>B82+B83+B84+B85</f>
        <v/>
      </c>
      <c r="C86" t="inlineStr">
        <is>
          <t>USD</t>
        </is>
      </c>
      <c r="D86" s="11" t="inlineStr"/>
    </row>
    <row r="88">
      <c r="A88" s="2" t="inlineStr">
        <is>
          <t>S8 · OVERHEAD (R&amp;D + S&amp;M + G&amp;A) — để RIÊNG, không đưa vào Gross Margin</t>
        </is>
      </c>
    </row>
    <row r="89">
      <c r="A89" t="inlineStr">
        <is>
          <t>R&amp;D (2 engineer + 1 PM)</t>
        </is>
      </c>
      <c r="B89" s="25" t="n">
        <v>5000</v>
      </c>
      <c r="C89" t="inlineStr">
        <is>
          <t>USD</t>
        </is>
      </c>
      <c r="D89" s="11" t="inlineStr">
        <is>
          <t>130tr VND/tháng</t>
        </is>
      </c>
    </row>
    <row r="90">
      <c r="A90" t="inlineStr">
        <is>
          <t>S&amp;M (1 AE + marketing)</t>
        </is>
      </c>
      <c r="B90" s="25" t="n">
        <v>1730.77</v>
      </c>
      <c r="C90" t="inlineStr">
        <is>
          <t>USD</t>
        </is>
      </c>
      <c r="D90" s="11" t="inlineStr">
        <is>
          <t>45tr VND/tháng</t>
        </is>
      </c>
    </row>
    <row r="91">
      <c r="A91" t="inlineStr">
        <is>
          <t>G&amp;A</t>
        </is>
      </c>
      <c r="B91" s="25" t="n">
        <v>769.23</v>
      </c>
      <c r="C91" t="inlineStr">
        <is>
          <t>USD</t>
        </is>
      </c>
      <c r="D91" s="11" t="inlineStr">
        <is>
          <t>20tr VND/tháng</t>
        </is>
      </c>
    </row>
    <row r="92">
      <c r="A92" t="inlineStr">
        <is>
          <t>Số hợp đồng ví đang chạy</t>
        </is>
      </c>
      <c r="B92" s="12" t="n">
        <v>4</v>
      </c>
      <c r="C92" t="inlineStr">
        <is>
          <t>hợp đồng</t>
        </is>
      </c>
      <c r="D92" s="11" t="inlineStr"/>
    </row>
    <row r="93">
      <c r="A93" s="16" t="inlineStr">
        <is>
          <t>OVERHEAD phan bo / hop dong</t>
        </is>
      </c>
      <c r="B93" s="21">
        <f>(B89+B90+B91)/B92</f>
        <v/>
      </c>
      <c r="C93" t="inlineStr">
        <is>
          <t>USD</t>
        </is>
      </c>
      <c r="D93" s="11" t="inlineStr"/>
    </row>
    <row r="95">
      <c r="A95" s="2" t="inlineStr">
        <is>
          <t>S9 · TỔNG HỢP</t>
        </is>
      </c>
    </row>
    <row r="96">
      <c r="A96" s="16" t="inlineStr">
        <is>
          <t>TONG COGS TRUC TIEP / thang</t>
        </is>
      </c>
      <c r="B96" s="21">
        <f>B51+B69+B65+B79+B86+B56</f>
        <v/>
      </c>
      <c r="C96" t="inlineStr">
        <is>
          <t>USD</t>
        </is>
      </c>
      <c r="D96" s="11" t="inlineStr"/>
    </row>
    <row r="97">
      <c r="A97" t="inlineStr">
        <is>
          <t xml:space="preserve">   quy ra VND</t>
        </is>
      </c>
      <c r="B97" s="14">
        <f>B96*26000</f>
        <v/>
      </c>
      <c r="C97" t="inlineStr">
        <is>
          <t>VND</t>
        </is>
      </c>
      <c r="D97" s="11" t="inlineStr"/>
    </row>
    <row r="98">
      <c r="A98" s="16" t="inlineStr">
        <is>
          <t>COST / JOB  (chia cho job HOAN THANH)</t>
        </is>
      </c>
      <c r="B98" s="28">
        <f>B96/B24</f>
        <v/>
      </c>
      <c r="C98" t="inlineStr">
        <is>
          <t>USD</t>
        </is>
      </c>
      <c r="D98" s="11" t="inlineStr">
        <is>
          <t>Lấy tổng COGS chia cho ô 'Số job hoàn thành' ở S2</t>
        </is>
      </c>
    </row>
    <row r="99">
      <c r="A99" t="inlineStr">
        <is>
          <t xml:space="preserve">   quy ra VND</t>
        </is>
      </c>
      <c r="B99" s="14">
        <f>B98*26000</f>
        <v/>
      </c>
      <c r="C99" t="inlineStr">
        <is>
          <t>VND</t>
        </is>
      </c>
      <c r="D99" s="11" t="inlineStr"/>
    </row>
    <row r="100">
      <c r="A100" t="inlineStr">
        <is>
          <t>Nếu chia nhầm cho job ĐÃ THỬ (140.000)</t>
        </is>
      </c>
      <c r="B100" s="20">
        <f>B96/B12</f>
        <v/>
      </c>
      <c r="C100" t="inlineStr">
        <is>
          <t>USD</t>
        </is>
      </c>
      <c r="D100" s="11" t="inlineStr"/>
    </row>
    <row r="101">
      <c r="A101" t="inlineStr">
        <is>
          <t>Sai số nếu dùng mẫu số sai</t>
        </is>
      </c>
      <c r="B101" s="18">
        <f>1-B100/B98</f>
        <v/>
      </c>
      <c r="D101" s="11" t="inlineStr">
        <is>
          <t>Chia nhầm làm Cost/Job trông rẻ hơn thực tế đúng bằng ngần này</t>
        </is>
      </c>
    </row>
    <row r="102">
      <c r="A102" t="inlineStr">
        <is>
          <t>Cost/Job đã gánh cả overhead</t>
        </is>
      </c>
      <c r="B102" s="20">
        <f>(B96+B93)/B24</f>
        <v/>
      </c>
      <c r="C102" t="inlineStr">
        <is>
          <t>USD</t>
        </is>
      </c>
      <c r="D102" s="11" t="inlineStr">
        <is>
          <t>Dùng để soi lãi vận hành. KHÔNG dùng con số này để tính Gross Margin.</t>
        </is>
      </c>
    </row>
    <row r="104">
      <c r="A104" s="2" t="inlineStr">
        <is>
          <t>CƠ CẤU COGS</t>
        </is>
      </c>
    </row>
    <row r="105">
      <c r="A105" t="inlineStr">
        <is>
          <t xml:space="preserve">   LLM</t>
        </is>
      </c>
      <c r="B105" s="22">
        <f>B51</f>
        <v/>
      </c>
      <c r="C105" s="15">
        <f>B51/B96</f>
        <v/>
      </c>
    </row>
    <row r="106">
      <c r="A106" t="inlineStr">
        <is>
          <t xml:space="preserve">   Retry</t>
        </is>
      </c>
      <c r="B106" s="22">
        <f>B69</f>
        <v/>
      </c>
      <c r="C106" s="15">
        <f>B69/B96</f>
        <v/>
      </c>
    </row>
    <row r="107">
      <c r="A107" t="inlineStr">
        <is>
          <t xml:space="preserve">   Infra</t>
        </is>
      </c>
      <c r="B107" s="22">
        <f>B65</f>
        <v/>
      </c>
      <c r="C107" s="15">
        <f>B65/B96</f>
        <v/>
      </c>
    </row>
    <row r="108">
      <c r="A108" t="inlineStr">
        <is>
          <t xml:space="preserve">   HITL — QA nội bộ</t>
        </is>
      </c>
      <c r="B108" s="22">
        <f>B79</f>
        <v/>
      </c>
      <c r="C108" s="15">
        <f>B79/B96</f>
        <v/>
      </c>
    </row>
    <row r="109">
      <c r="A109" t="inlineStr">
        <is>
          <t xml:space="preserve">   Khác (eval / CSM / compliance / bảo trì)</t>
        </is>
      </c>
      <c r="B109" s="22">
        <f>B86</f>
        <v/>
      </c>
      <c r="C109" s="15">
        <f>B86/B96</f>
        <v/>
      </c>
    </row>
    <row r="110">
      <c r="A110" s="16" t="inlineStr">
        <is>
          <t>Đọc bảng này trước khi tối ưu bất cứ thứ gì</t>
        </is>
      </c>
      <c r="D110" s="11" t="inlineStr">
        <is>
          <t>Lao động người (QA + CSM) chiếm phần lớn nhất, không phải token. Cắt token không cứu được mô hình này; cắt giờ người mới cứu.</t>
        </is>
      </c>
    </row>
  </sheetData>
  <mergeCells count="19">
    <mergeCell ref="B8:D8"/>
    <mergeCell ref="A27:F27"/>
    <mergeCell ref="A3:F3"/>
    <mergeCell ref="A55:F55"/>
    <mergeCell ref="A104:F104"/>
    <mergeCell ref="A95:F95"/>
    <mergeCell ref="A71:F71"/>
    <mergeCell ref="B9:D9"/>
    <mergeCell ref="B6:D6"/>
    <mergeCell ref="A81:F81"/>
    <mergeCell ref="A1:D1"/>
    <mergeCell ref="B5:D5"/>
    <mergeCell ref="B4:D4"/>
    <mergeCell ref="A67:F67"/>
    <mergeCell ref="A58:F58"/>
    <mergeCell ref="A40:F40"/>
    <mergeCell ref="B7:D7"/>
    <mergeCell ref="A11:F11"/>
    <mergeCell ref="A88:F8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outlineLevelCol="0"/>
  <cols>
    <col width="48" customWidth="1" min="1" max="1"/>
    <col width="18" customWidth="1" min="2" max="2"/>
    <col width="14" customWidth="1" min="3" max="3"/>
    <col width="95" customWidth="1" min="4" max="4"/>
  </cols>
  <sheetData>
    <row r="1" ht="24" customHeight="1">
      <c r="A1" s="1" t="inlineStr">
        <is>
          <t>2_Pricing — Gia san · gia tran · Gross Margin · Breakeven</t>
        </is>
      </c>
    </row>
    <row r="3">
      <c r="A3" s="2" t="inlineStr">
        <is>
          <t>BẢNG GIÁ ĐỀ XUẤT (Hybrid)</t>
        </is>
      </c>
    </row>
    <row r="4">
      <c r="A4" t="inlineStr">
        <is>
          <t>Phí nền / tháng</t>
        </is>
      </c>
      <c r="B4" s="12" t="n">
        <v>130000000</v>
      </c>
      <c r="C4" t="inlineStr">
        <is>
          <t>VND</t>
        </is>
      </c>
      <c r="D4" s="11" t="inlineStr">
        <is>
          <t>Đổi lấy MỘT thứ cụ thể: nạp KB riêng, kết nối MCP vào hệ thống ví, dashboard tenant, SLA 99,5%, log kiểm toán bất biến, báo cáo eval hằng quý, KHÔNG giới hạn seat.</t>
        </is>
      </c>
    </row>
    <row r="5">
      <c r="A5" t="inlineStr">
        <is>
          <t>Phí nền (USD)</t>
        </is>
      </c>
      <c r="B5" s="22">
        <f>B4/26000</f>
        <v/>
      </c>
      <c r="C5" t="inlineStr">
        <is>
          <t>USD</t>
        </is>
      </c>
      <c r="D5" s="11" t="inlineStr"/>
    </row>
    <row r="6">
      <c r="A6" t="inlineStr">
        <is>
          <t>Đơn giá — ca contained</t>
        </is>
      </c>
      <c r="B6" s="12" t="n">
        <v>1900</v>
      </c>
      <c r="C6" t="inlineStr">
        <is>
          <t>VND/job</t>
        </is>
      </c>
      <c r="D6" s="11" t="inlineStr">
        <is>
          <t>Khách tự giải quyết xong với agent, không mở lại trong cửa sổ quy định</t>
        </is>
      </c>
    </row>
    <row r="7">
      <c r="A7" t="inlineStr">
        <is>
          <t>Đơn giá — hồ sơ được duyệt lần đầu</t>
        </is>
      </c>
      <c r="B7" s="12" t="n">
        <v>12000</v>
      </c>
      <c r="C7" t="inlineStr">
        <is>
          <t>VND/job</t>
        </is>
      </c>
      <c r="D7" s="11" t="inlineStr">
        <is>
          <t>Chỉ tính khi sếp ví ra quyết định cuối ngay lần trình đầu. Bị trả về = KHÔNG tính tiền.</t>
        </is>
      </c>
    </row>
    <row r="8">
      <c r="A8" t="inlineStr">
        <is>
          <t>Đơn giá contained (USD)</t>
        </is>
      </c>
      <c r="B8" s="20">
        <f>B6/26000</f>
        <v/>
      </c>
      <c r="C8" t="inlineStr">
        <is>
          <t>USD</t>
        </is>
      </c>
      <c r="D8" s="11" t="inlineStr"/>
    </row>
    <row r="9">
      <c r="A9" t="inlineStr">
        <is>
          <t>Đơn giá hồ sơ (USD)</t>
        </is>
      </c>
      <c r="B9" s="20">
        <f>B7/26000</f>
        <v/>
      </c>
      <c r="C9" t="inlineStr">
        <is>
          <t>USD</t>
        </is>
      </c>
      <c r="D9" s="11" t="inlineStr"/>
    </row>
    <row r="10">
      <c r="A10" s="16" t="inlineStr">
        <is>
          <t>DOANH THU / thang / 1 vi</t>
        </is>
      </c>
      <c r="B10" s="21">
        <f>B5+'1_Cost_Job'!B22*B8+'1_Cost_Job'!B23*B9</f>
        <v/>
      </c>
      <c r="C10" t="inlineStr">
        <is>
          <t>USD</t>
        </is>
      </c>
      <c r="D10" s="11" t="inlineStr"/>
    </row>
    <row r="11">
      <c r="A11" t="inlineStr">
        <is>
          <t xml:space="preserve">   quy ra VND</t>
        </is>
      </c>
      <c r="B11" s="14">
        <f>B10*26000</f>
        <v/>
      </c>
      <c r="C11" t="inlineStr">
        <is>
          <t>VND</t>
        </is>
      </c>
      <c r="D11" s="11" t="inlineStr">
        <is>
          <t>Day 24 giả định ARPU 450tr/ví/tháng. Bản này cao hơn vì tính theo ĐƠN VỊ HOÀN THÀNH thay vì hợp đồng phẳng — xem Decision Note ở README repo.</t>
        </is>
      </c>
    </row>
    <row r="12">
      <c r="A12" t="inlineStr">
        <is>
          <t>Giá bán bình quân / job</t>
        </is>
      </c>
      <c r="B12" s="20">
        <f>B10/'1_Cost_Job'!B24</f>
        <v/>
      </c>
      <c r="C12" t="inlineStr">
        <is>
          <t>USD</t>
        </is>
      </c>
      <c r="D12" s="11" t="inlineStr"/>
    </row>
    <row r="13">
      <c r="A13" t="inlineStr">
        <is>
          <t xml:space="preserve">   quy ra VND</t>
        </is>
      </c>
      <c r="B13" s="14">
        <f>B12*26000</f>
        <v/>
      </c>
      <c r="C13" t="inlineStr">
        <is>
          <t>VND</t>
        </is>
      </c>
      <c r="D13" s="11" t="inlineStr"/>
    </row>
    <row r="15">
      <c r="A15" s="2" t="inlineStr">
        <is>
          <t>GIÁ SÀN · GIÁ TRẦN</t>
        </is>
      </c>
    </row>
    <row r="16">
      <c r="A16" t="inlineStr">
        <is>
          <t>Cost/Job (lấy từ tab 1)</t>
        </is>
      </c>
      <c r="B16" s="20">
        <f>'1_Cost_Job'!B98</f>
        <v/>
      </c>
      <c r="C16" t="inlineStr">
        <is>
          <t>USD</t>
        </is>
      </c>
      <c r="D16" s="11" t="inlineStr"/>
    </row>
    <row r="17">
      <c r="A17" s="16" t="inlineStr">
        <is>
          <t>GIA SAN = 3 x Cost/Job</t>
        </is>
      </c>
      <c r="B17" s="28">
        <f>3*B16</f>
        <v/>
      </c>
      <c r="C17" t="inlineStr">
        <is>
          <t>USD</t>
        </is>
      </c>
      <c r="D17" s="11" t="inlineStr"/>
    </row>
    <row r="18">
      <c r="A18" t="inlineStr">
        <is>
          <t xml:space="preserve">   quy ra VND</t>
        </is>
      </c>
      <c r="B18" s="14">
        <f>B17*26000</f>
        <v/>
      </c>
      <c r="C18" t="inlineStr">
        <is>
          <t>VND</t>
        </is>
      </c>
      <c r="D18" s="11" t="inlineStr"/>
    </row>
    <row r="19">
      <c r="A19" t="inlineStr">
        <is>
          <t>Ticket / CSKH / tháng</t>
        </is>
      </c>
      <c r="B19" s="12" t="n">
        <v>440</v>
      </c>
      <c r="C19" t="inlineStr">
        <is>
          <t>ticket</t>
        </is>
      </c>
      <c r="D19" s="11" t="inlineStr">
        <is>
          <t>20 ticket mỗi ngày × 22 ngày làm việc</t>
        </is>
      </c>
    </row>
    <row r="20">
      <c r="A20" t="inlineStr">
        <is>
          <t>Chi phí 1 CSKH (fully-loaded)</t>
        </is>
      </c>
      <c r="B20" s="12" t="n">
        <v>15000000</v>
      </c>
      <c r="C20" t="inlineStr">
        <is>
          <t>VND/tháng</t>
        </is>
      </c>
      <c r="D20" s="11" t="inlineStr"/>
    </row>
    <row r="21">
      <c r="A21" t="inlineStr">
        <is>
          <t>Chi phí NGƯỜI cho 1 ticket</t>
        </is>
      </c>
      <c r="B21" s="29">
        <f>B20/B19/26000</f>
        <v/>
      </c>
      <c r="C21" t="inlineStr">
        <is>
          <t>USD</t>
        </is>
      </c>
      <c r="D21" s="11" t="inlineStr">
        <is>
          <t>Neo mà ví TỰ KIỂM CHỨNG được từ bảng lương của chính họ</t>
        </is>
      </c>
    </row>
    <row r="22">
      <c r="A22" t="inlineStr">
        <is>
          <t>Neo nhân công 70% × chi phí người</t>
        </is>
      </c>
      <c r="B22" s="29">
        <f>0.7*B21</f>
        <v/>
      </c>
      <c r="C22" t="inlineStr">
        <is>
          <t>USD</t>
        </is>
      </c>
      <c r="D22" s="11" t="inlineStr">
        <is>
          <t>KHÔNG dùng — xem ghi chú ngay dưới</t>
        </is>
      </c>
    </row>
    <row r="23">
      <c r="A23" t="inlineStr">
        <is>
          <t>Neo giá trị 10% × giá trị tạo ra</t>
        </is>
      </c>
      <c r="B23" s="29">
        <f>0.1*B21</f>
        <v/>
      </c>
      <c r="C23" t="inlineStr">
        <is>
          <t>USD</t>
        </is>
      </c>
      <c r="D23" s="11" t="inlineStr"/>
    </row>
    <row r="24">
      <c r="A24" s="16" t="inlineStr">
        <is>
          <t>GIA TRAN chon dung = 25% gia tri tao ra</t>
        </is>
      </c>
      <c r="B24" s="30">
        <f>0.25*B21</f>
        <v/>
      </c>
      <c r="C24" t="inlineStr">
        <is>
          <t>USD</t>
        </is>
      </c>
      <c r="D24" s="11" t="inlineStr"/>
    </row>
    <row r="25">
      <c r="A25" s="16" t="inlineStr">
        <is>
          <t>Vì sao chọn neo GIÁ TRỊ chứ không neo NHÂN CÔNG</t>
        </is>
      </c>
      <c r="D25" s="11" t="inlineStr">
        <is>
          <t>Quy tắc '50–70% lương vị trí bị thay' chỉ đúng khi bạn THAY một người. FIN-05 không thay CSKH: HITL là ràng buộc bắt buộc (Brief §7.1), ví vẫn trả đủ lương cho CSKH và cho sếp duyệt. Ta chỉ rút ngắn thời gian mỗi ca. Nên neo đúng là 10–25% giá trị tạo ra, và ta nằm ở nửa dưới của khoảng đó vì đang ở giai đoạn land.</t>
        </is>
      </c>
    </row>
    <row r="26">
      <c r="A26" s="16" t="inlineStr">
        <is>
          <t>Giá bán có nằm trong vùng [sàn, trần] không?</t>
        </is>
      </c>
      <c r="B26" s="31">
        <f>IF(AND(B12&gt;=B17,B12&lt;=B24),"NAM TRONG VUNG","NGOAI VUNG")</f>
        <v/>
      </c>
      <c r="D26" s="11" t="inlineStr"/>
    </row>
    <row r="27">
      <c r="A27" t="inlineStr">
        <is>
          <t>Giá trị tạo ra cho ví / tháng</t>
        </is>
      </c>
      <c r="B27" s="22">
        <f>'1_Cost_Job'!B24*B21</f>
        <v/>
      </c>
      <c r="C27" t="inlineStr">
        <is>
          <t>USD</t>
        </is>
      </c>
      <c r="D27" s="11" t="inlineStr"/>
    </row>
    <row r="28">
      <c r="A28" t="inlineStr">
        <is>
          <t>Ta thu bao nhiêu phần trăm giá trị đó</t>
        </is>
      </c>
      <c r="B28" s="18">
        <f>B10/B27</f>
        <v/>
      </c>
      <c r="D28" s="11" t="inlineStr">
        <is>
          <t>Quy tắc lab: 10–25%</t>
        </is>
      </c>
    </row>
    <row r="29">
      <c r="A29" t="inlineStr">
        <is>
          <t>ROI của khách</t>
        </is>
      </c>
      <c r="B29" s="32">
        <f>B27/B10</f>
        <v/>
      </c>
      <c r="C29" t="inlineStr">
        <is>
          <t>lần</t>
        </is>
      </c>
      <c r="D29" s="11" t="inlineStr"/>
    </row>
    <row r="31">
      <c r="A31" s="2" t="inlineStr">
        <is>
          <t>HAI NGƯỠNG SỐNG CÒN</t>
        </is>
      </c>
    </row>
    <row r="32">
      <c r="A32" t="inlineStr">
        <is>
          <t>COGS / tháng</t>
        </is>
      </c>
      <c r="B32" s="22">
        <f>'1_Cost_Job'!B96</f>
        <v/>
      </c>
      <c r="C32" t="inlineStr">
        <is>
          <t>USD</t>
        </is>
      </c>
      <c r="D32" s="11" t="inlineStr"/>
    </row>
    <row r="33">
      <c r="A33" s="16" t="inlineStr">
        <is>
          <t>GROSS MARGIN</t>
        </is>
      </c>
      <c r="B33" s="33">
        <f>(B10-B32)/B10</f>
        <v/>
      </c>
      <c r="D33" s="11" t="inlineStr">
        <is>
          <t>Ngưỡng: &gt;= 60%</t>
        </is>
      </c>
    </row>
    <row r="34">
      <c r="A34" s="16" t="inlineStr">
        <is>
          <t>Gia ban / Cost per Job</t>
        </is>
      </c>
      <c r="B34" s="34">
        <f>B12/B16</f>
        <v/>
      </c>
      <c r="C34" t="inlineStr">
        <is>
          <t>lần</t>
        </is>
      </c>
      <c r="D34" s="11" t="inlineStr">
        <is>
          <t>Ngưỡng: &gt;= 3,00x</t>
        </is>
      </c>
    </row>
    <row r="35">
      <c r="A35" s="16" t="inlineStr">
        <is>
          <t>Hai ngưỡng này KHÔNG độc lập nhau</t>
        </is>
      </c>
      <c r="D35" s="11" t="inlineStr">
        <is>
          <t>Giá bán/Cost/Job = Doanh thu/COGS = 1/(1−GM). Nên ngưỡng '&gt;= 3x' tương đương 'GM &gt;= 66,67%', chặt hơn ngưỡng GM 60%. Ngưỡng thực sự ràng buộc mô hình này là 3x. Ta báo cả hai và nói rõ mình đứng ở đâu.</t>
        </is>
      </c>
    </row>
    <row r="36">
      <c r="A36" t="inlineStr">
        <is>
          <t>Biên sau khi gánh cả overhead</t>
        </is>
      </c>
      <c r="B36" s="18">
        <f>(B10-B32-'1_Cost_Job'!B93)/B10</f>
        <v/>
      </c>
      <c r="D36" s="11" t="inlineStr"/>
    </row>
    <row r="37">
      <c r="A37" s="16" t="inlineStr">
        <is>
          <t>Vì sao GM cao hơn benchmark AI-native 52–53%</t>
        </is>
      </c>
      <c r="D37" s="11" t="inlineStr">
        <is>
          <t>Ba lý do kiểm chứng được: (1) deepseek-v4-flash rẻ hơn model tuyến đầu khoảng 3,5 lần cho đúng khối lượng token này — xem dòng 'Đổi sang Claude Haiku 4.5' ở bảng độ nhạy; (2) lao động QA tại VN 3,30 $/giờ so với 25–40 $/giờ ở Mỹ; (3) Biến thể A — chi phí người xử lý ca escalate nằm phía ví. Đổi bất kỳ điều nào trong ba điều đó thì GM sập.</t>
        </is>
      </c>
    </row>
    <row r="39">
      <c r="A39" s="2" t="inlineStr">
        <is>
          <t>BREAKEVEN — biến nào giết mô hình</t>
        </is>
      </c>
    </row>
    <row r="40">
      <c r="A40" t="inlineStr">
        <is>
          <t>Doanh thu cần để đạt ngưỡng 3x</t>
        </is>
      </c>
      <c r="B40" s="22">
        <f>3*B32</f>
        <v/>
      </c>
      <c r="C40" t="inlineStr">
        <is>
          <t>USD</t>
        </is>
      </c>
      <c r="D40" s="11" t="inlineStr"/>
    </row>
    <row r="41">
      <c r="A41" t="inlineStr">
        <is>
          <t>Doanh thu cần để đạt GM 60%</t>
        </is>
      </c>
      <c r="B41" s="22">
        <f>B32/0.4</f>
        <v/>
      </c>
      <c r="C41" t="inlineStr">
        <is>
          <t>USD</t>
        </is>
      </c>
      <c r="D41" s="11" t="inlineStr"/>
    </row>
    <row r="42">
      <c r="A42" t="inlineStr">
        <is>
          <t>Doanh thu từ phí nền + đường contained</t>
        </is>
      </c>
      <c r="B42" s="22">
        <f>B5+'1_Cost_Job'!B22*B8</f>
        <v/>
      </c>
      <c r="C42" t="inlineStr">
        <is>
          <t>USD</t>
        </is>
      </c>
      <c r="D42" s="11" t="inlineStr"/>
    </row>
    <row r="43">
      <c r="A43" s="16" t="inlineStr">
        <is>
          <t>TY LE HO SO DUYET-LAN-DAU toi thieu de dat 3x</t>
        </is>
      </c>
      <c r="B43" s="33">
        <f>(B40-B42)/B9/'1_Cost_Job'!B17</f>
        <v/>
      </c>
      <c r="D43" s="11" t="inlineStr"/>
    </row>
    <row r="44">
      <c r="A44" t="inlineStr">
        <is>
          <t>Tỷ lệ tối thiểu để đạt GM 60%</t>
        </is>
      </c>
      <c r="B44" s="18">
        <f>(B41-B42)/B9/'1_Cost_Job'!B17</f>
        <v/>
      </c>
      <c r="D44" s="11" t="inlineStr"/>
    </row>
    <row r="45">
      <c r="A45" t="inlineStr">
        <is>
          <t>DO THAT ngay 27/08/2026</t>
        </is>
      </c>
      <c r="B45" s="35" t="n">
        <v>0.010309</v>
      </c>
      <c r="D45" s="11" t="inlineStr">
        <is>
          <t>1/97 ca kỳ vọng mở đúng hồ sơ (missed_expected_ticket = 96 / n_cases_expecting_ticket = 97). Nguồn: eval/results/run-2026-08-27-sau-seed-scored.json, có khối provenance (commit 10d30e5, sha bộ chấm + run + đáp án + dataset).</t>
        </is>
      </c>
    </row>
    <row r="46">
      <c r="A46" s="16" t="inlineStr">
        <is>
          <t>PHAN QUYET</t>
        </is>
      </c>
      <c r="B46" s="31">
        <f>IF(B45&gt;=B43,"DAT - duoc phep chao bang gia nay","CHUA DAT - chua duoc ky hop dong theo bang gia nay")</f>
        <v/>
      </c>
      <c r="D46" s="11" t="inlineStr"/>
    </row>
    <row r="47">
      <c r="A47" t="inlineStr">
        <is>
          <t>Khoảng cách phải đóng</t>
        </is>
      </c>
      <c r="B47" s="18">
        <f>B43-B45</f>
        <v/>
      </c>
      <c r="C47" t="inlineStr">
        <is>
          <t>điểm %</t>
        </is>
      </c>
      <c r="D47" s="11" t="inlineStr"/>
    </row>
    <row r="48">
      <c r="A48" t="inlineStr">
        <is>
          <t>Containment lớp A tối thiểu (giữ hồ sơ ở 71%)</t>
        </is>
      </c>
      <c r="B48" s="18">
        <f>(B40-B5-'1_Cost_Job'!B23*B9)/B8/'1_Cost_Job'!B16</f>
        <v/>
      </c>
      <c r="D48" s="11" t="inlineStr">
        <is>
          <t>Rất thấp — vì phí nền cộng doanh thu hồ sơ đã gánh gần hết. Biến quyết định là ĐƯỜNG HỒ SƠ, không phải containment.</t>
        </is>
      </c>
    </row>
    <row r="50">
      <c r="A50" s="2" t="inlineStr">
        <is>
          <t>BIẾN THỂ B — nếu ta bán Outcome / managed service (mô phỏng, KHÔNG chọn)</t>
        </is>
      </c>
    </row>
    <row r="51">
      <c r="A51" t="inlineStr">
        <is>
          <t>Số ca ta sẽ phải tự hoàn tất</t>
        </is>
      </c>
      <c r="B51" s="14">
        <f>'1_Cost_Job'!B12-'1_Cost_Job'!B24</f>
        <v/>
      </c>
      <c r="C51" t="inlineStr">
        <is>
          <t>ca</t>
        </is>
      </c>
      <c r="D51" s="11" t="inlineStr"/>
    </row>
    <row r="52">
      <c r="A52" t="inlineStr">
        <is>
          <t>Phút người / ca escalate</t>
        </is>
      </c>
      <c r="B52" s="12" t="n">
        <v>12</v>
      </c>
      <c r="C52" t="inlineStr">
        <is>
          <t>phút</t>
        </is>
      </c>
      <c r="D52" s="11" t="inlineStr"/>
    </row>
    <row r="53">
      <c r="A53" t="inlineStr">
        <is>
          <t>Chi phí escalation / tháng</t>
        </is>
      </c>
      <c r="B53" s="22">
        <f>B51*B52/60*'1_Cost_Job'!B75</f>
        <v/>
      </c>
      <c r="C53" t="inlineStr">
        <is>
          <t>USD</t>
        </is>
      </c>
      <c r="D53" s="11" t="inlineStr"/>
    </row>
    <row r="54">
      <c r="A54" t="inlineStr">
        <is>
          <t>COGS ở Biến thể B</t>
        </is>
      </c>
      <c r="B54" s="22">
        <f>B32+B53</f>
        <v/>
      </c>
      <c r="C54" t="inlineStr">
        <is>
          <t>USD</t>
        </is>
      </c>
      <c r="D54" s="11" t="inlineStr"/>
    </row>
    <row r="55">
      <c r="A55" s="16" t="inlineStr">
        <is>
          <t>GROSS MARGIN o Bien the B</t>
        </is>
      </c>
      <c r="B55" s="33">
        <f>(B10-B54)/B10</f>
        <v/>
      </c>
      <c r="D55" s="11" t="inlineStr"/>
    </row>
    <row r="56">
      <c r="A56" t="inlineStr">
        <is>
          <t>Tỷ lệ hoàn thành job cần ở Biến thể B để đạt GM 60%</t>
        </is>
      </c>
      <c r="B56" s="18">
        <f>(B32+B52/60*'1_Cost_Job'!B75*'1_Cost_Job'!B12-0.4*B5)/(0.4*((B10-B5)/'1_Cost_Job'!B24)+B52/60*'1_Cost_Job'!B75)/'1_Cost_Job'!B12</f>
        <v/>
      </c>
      <c r="D56" s="11" t="inlineStr"/>
    </row>
    <row r="57">
      <c r="A57" s="16" t="inlineStr">
        <is>
          <t>Kết luận rút ra từ hai dòng trên</t>
        </is>
      </c>
      <c r="D57" s="11" t="inlineStr">
        <is>
          <t>Chuyển sang Biến thể B ở mức chất lượng hôm nay biến biên dương thành âm, và cần tỷ lệ hoàn thành 94% — bất khả thi với sản phẩm mà HITL là bắt buộc theo thiết kế và theo tuân thủ. Đây là lý do ĐỊNH LƯỢNG để không bán Outcome, mạnh hơn mọi lập luận định tính.</t>
        </is>
      </c>
    </row>
    <row r="59">
      <c r="A59" s="2" t="inlineStr">
        <is>
          <t>ĐỘ NHẠY — cú sốc lên từng biến (giữ nguyên các biến còn lại)</t>
        </is>
      </c>
    </row>
    <row r="60">
      <c r="A60" s="2" t="inlineStr">
        <is>
          <t>Kịch bản</t>
        </is>
      </c>
      <c r="B60" s="2" t="inlineStr">
        <is>
          <t>Cost/Job</t>
        </is>
      </c>
      <c r="C60" s="2" t="inlineStr">
        <is>
          <t>Bội số so với Cost/Job</t>
        </is>
      </c>
      <c r="D60" s="2" t="inlineStr">
        <is>
          <t>Gross Margin</t>
        </is>
      </c>
    </row>
    <row r="61">
      <c r="A61" t="inlineStr">
        <is>
          <t>Cơ sở</t>
        </is>
      </c>
      <c r="B61" s="20">
        <f>(B32)/'1_Cost_Job'!B24</f>
        <v/>
      </c>
      <c r="C61" s="36">
        <f>(B10)/(B32)</f>
        <v/>
      </c>
      <c r="D61" s="18">
        <f>((B10)-(B32))/(B10)</f>
        <v/>
      </c>
    </row>
    <row r="62">
      <c r="A62" t="inlineStr">
        <is>
          <t>Lao động QA sai gấp 2</t>
        </is>
      </c>
      <c r="B62" s="20">
        <f>(B32+'1_Cost_Job'!B79)/'1_Cost_Job'!B24</f>
        <v/>
      </c>
      <c r="C62" s="36">
        <f>(B10)/(B32+'1_Cost_Job'!B79)</f>
        <v/>
      </c>
      <c r="D62" s="18">
        <f>((B10)-(B32+'1_Cost_Job'!B79))/(B10)</f>
        <v/>
      </c>
    </row>
    <row r="63">
      <c r="A63" t="inlineStr">
        <is>
          <t>Chi phí LLM sai gấp 2</t>
        </is>
      </c>
      <c r="B63" s="20">
        <f>(B32+'1_Cost_Job'!B51*(1+'1_Cost_Job'!B68))/'1_Cost_Job'!B24</f>
        <v/>
      </c>
      <c r="C63" s="36">
        <f>(B10)/(B32+'1_Cost_Job'!B51*(1+'1_Cost_Job'!B68))</f>
        <v/>
      </c>
      <c r="D63" s="18">
        <f>((B10)-(B32+'1_Cost_Job'!B51*(1+'1_Cost_Job'!B68)))/(B10)</f>
        <v/>
      </c>
    </row>
    <row r="64">
      <c r="A64" t="inlineStr">
        <is>
          <t>Containment lớp A 80% -&gt; 40%</t>
        </is>
      </c>
      <c r="B64" s="20">
        <f>(B32)/('1_Cost_Job'!B16*0.4+'1_Cost_Job'!B23)</f>
        <v/>
      </c>
      <c r="C64" s="36">
        <f>(B5+'1_Cost_Job'!B16*0.4*B8+'1_Cost_Job'!B23*B9)/(B32)</f>
        <v/>
      </c>
      <c r="D64" s="18">
        <f>((B5+'1_Cost_Job'!B16*0.4*B8+'1_Cost_Job'!B23*B9)-(B32))/(B5+'1_Cost_Job'!B16*0.4*B8+'1_Cost_Job'!B23*B9)</f>
        <v/>
      </c>
    </row>
    <row r="65">
      <c r="A65" t="inlineStr">
        <is>
          <t>Hồ sơ duyệt-lần-đầu 71% -&gt; 35,5%</t>
        </is>
      </c>
      <c r="B65" s="20">
        <f>(B32)/('1_Cost_Job'!B22+'1_Cost_Job'!B17*0.355)</f>
        <v/>
      </c>
      <c r="C65" s="36">
        <f>(B5+'1_Cost_Job'!B22*B8+'1_Cost_Job'!B17*0.355*B9)/(B32)</f>
        <v/>
      </c>
      <c r="D65" s="18">
        <f>((B5+'1_Cost_Job'!B22*B8+'1_Cost_Job'!B17*0.355*B9)-(B32))/(B5+'1_Cost_Job'!B22*B8+'1_Cost_Job'!B17*0.355*B9)</f>
        <v/>
      </c>
    </row>
    <row r="66">
      <c r="A66" t="inlineStr">
        <is>
          <t>100% lưu lượng rơi vào khung peak</t>
        </is>
      </c>
      <c r="B66" s="20">
        <f>(B32+'1_Cost_Job'!B51*(1+'1_Cost_Job'!B68)*0.212121)/'1_Cost_Job'!B24</f>
        <v/>
      </c>
      <c r="C66" s="36">
        <f>(B10)/(B32+'1_Cost_Job'!B51*(1+'1_Cost_Job'!B68)*0.212121)</f>
        <v/>
      </c>
      <c r="D66" s="18">
        <f>((B10)-(B32+'1_Cost_Job'!B51*(1+'1_Cost_Job'!B68)*0.212121))/(B10)</f>
        <v/>
      </c>
    </row>
    <row r="67">
      <c r="A67" t="inlineStr">
        <is>
          <t>Đổi sang Claude Haiku 4.5</t>
        </is>
      </c>
      <c r="B67" s="20">
        <f>(B32+'1_Cost_Job'!B51*(1+'1_Cost_Job'!B68)*2.4972)/'1_Cost_Job'!B24</f>
        <v/>
      </c>
      <c r="C67" s="36">
        <f>(B10)/(B32+'1_Cost_Job'!B51*(1+'1_Cost_Job'!B68)*2.4972)</f>
        <v/>
      </c>
      <c r="D67" s="18">
        <f>((B10)-(B32+'1_Cost_Job'!B51*(1+'1_Cost_Job'!B68)*2.4972))/(B10)</f>
        <v/>
      </c>
    </row>
    <row r="68">
      <c r="A68" t="inlineStr">
        <is>
          <t>Bỏ prompt caching</t>
        </is>
      </c>
      <c r="B68" s="20">
        <f>(B32+('1_Cost_Job'!B52-'1_Cost_Job'!B51)*(1+'1_Cost_Job'!B68))/'1_Cost_Job'!B24</f>
        <v/>
      </c>
      <c r="C68" s="36">
        <f>(B10)/(B32+('1_Cost_Job'!B52-'1_Cost_Job'!B51)*(1+'1_Cost_Job'!B68))</f>
        <v/>
      </c>
      <c r="D68" s="18">
        <f>((B10)-(B32+('1_Cost_Job'!B52-'1_Cost_Job'!B51)*(1+'1_Cost_Job'!B68)))/(B10)</f>
        <v/>
      </c>
    </row>
    <row r="70">
      <c r="A70" s="7" t="inlineStr">
        <is>
          <t>CON SỐ GIẾT MÔ HÌNH</t>
        </is>
      </c>
      <c r="D70" s="11" t="inlineStr">
        <is>
          <t>Lao động người (QA + CSM) là 54% COGS. Sai gấp đôi ở đơn giá hoặc ở khối lượng review là mất ngưỡng 3x. Đây cũng là con số CHƯA từng đo ở tải 140.000 ca/tháng — mới chỉ suy ra từ giai đoạn demo.</t>
        </is>
      </c>
    </row>
    <row r="72">
      <c r="A72" s="2" t="inlineStr">
        <is>
          <t>MA TRẬN GROSS MARGIN — hàng: containment lớp A · cột: tỷ lệ hồ sơ duyệt lần đầu</t>
        </is>
      </c>
    </row>
    <row r="73">
      <c r="A73" s="2" t="inlineStr">
        <is>
          <t>cont \ hồ sơ</t>
        </is>
      </c>
      <c r="B73" s="37" t="n">
        <v>0.0103</v>
      </c>
      <c r="C73" s="37" t="n">
        <v>0.2</v>
      </c>
      <c r="D73" s="37" t="n">
        <v>0.2889</v>
      </c>
      <c r="E73" s="37" t="n">
        <v>0.4667</v>
      </c>
      <c r="F73" s="37" t="n">
        <v>0.6</v>
      </c>
      <c r="G73" s="37" t="n">
        <v>0.71</v>
      </c>
      <c r="H73" s="37" t="n">
        <v>0.85</v>
      </c>
    </row>
    <row r="74">
      <c r="A74" s="37" t="n">
        <v>0.5</v>
      </c>
      <c r="B74" s="15">
        <f>(B5+'1_Cost_Job'!B16*$A74*B8+'1_Cost_Job'!B17*B$73*B9-B32)/(B5+'1_Cost_Job'!B16*$A74*B8+'1_Cost_Job'!B17*B$73*B9)</f>
        <v/>
      </c>
      <c r="C74" s="15">
        <f>(B5+'1_Cost_Job'!B16*$A74*B8+'1_Cost_Job'!B17*C$73*B9-B32)/(B5+'1_Cost_Job'!B16*$A74*B8+'1_Cost_Job'!B17*C$73*B9)</f>
        <v/>
      </c>
      <c r="D74" s="15">
        <f>(B5+'1_Cost_Job'!B16*$A74*B8+'1_Cost_Job'!B17*D$73*B9-B32)/(B5+'1_Cost_Job'!B16*$A74*B8+'1_Cost_Job'!B17*D$73*B9)</f>
        <v/>
      </c>
      <c r="E74" s="15">
        <f>(B5+'1_Cost_Job'!B16*$A74*B8+'1_Cost_Job'!B17*E$73*B9-B32)/(B5+'1_Cost_Job'!B16*$A74*B8+'1_Cost_Job'!B17*E$73*B9)</f>
        <v/>
      </c>
      <c r="F74" s="15">
        <f>(B5+'1_Cost_Job'!B16*$A74*B8+'1_Cost_Job'!B17*F$73*B9-B32)/(B5+'1_Cost_Job'!B16*$A74*B8+'1_Cost_Job'!B17*F$73*B9)</f>
        <v/>
      </c>
      <c r="G74" s="15">
        <f>(B5+'1_Cost_Job'!B16*$A74*B8+'1_Cost_Job'!B17*G$73*B9-B32)/(B5+'1_Cost_Job'!B16*$A74*B8+'1_Cost_Job'!B17*G$73*B9)</f>
        <v/>
      </c>
      <c r="H74" s="15">
        <f>(B5+'1_Cost_Job'!B16*$A74*B8+'1_Cost_Job'!B17*H$73*B9-B32)/(B5+'1_Cost_Job'!B16*$A74*B8+'1_Cost_Job'!B17*H$73*B9)</f>
        <v/>
      </c>
    </row>
    <row r="75">
      <c r="A75" s="37" t="n">
        <v>0.6</v>
      </c>
      <c r="B75" s="15">
        <f>(B5+'1_Cost_Job'!B16*$A75*B8+'1_Cost_Job'!B17*B$73*B9-B32)/(B5+'1_Cost_Job'!B16*$A75*B8+'1_Cost_Job'!B17*B$73*B9)</f>
        <v/>
      </c>
      <c r="C75" s="15">
        <f>(B5+'1_Cost_Job'!B16*$A75*B8+'1_Cost_Job'!B17*C$73*B9-B32)/(B5+'1_Cost_Job'!B16*$A75*B8+'1_Cost_Job'!B17*C$73*B9)</f>
        <v/>
      </c>
      <c r="D75" s="15">
        <f>(B5+'1_Cost_Job'!B16*$A75*B8+'1_Cost_Job'!B17*D$73*B9-B32)/(B5+'1_Cost_Job'!B16*$A75*B8+'1_Cost_Job'!B17*D$73*B9)</f>
        <v/>
      </c>
      <c r="E75" s="15">
        <f>(B5+'1_Cost_Job'!B16*$A75*B8+'1_Cost_Job'!B17*E$73*B9-B32)/(B5+'1_Cost_Job'!B16*$A75*B8+'1_Cost_Job'!B17*E$73*B9)</f>
        <v/>
      </c>
      <c r="F75" s="15">
        <f>(B5+'1_Cost_Job'!B16*$A75*B8+'1_Cost_Job'!B17*F$73*B9-B32)/(B5+'1_Cost_Job'!B16*$A75*B8+'1_Cost_Job'!B17*F$73*B9)</f>
        <v/>
      </c>
      <c r="G75" s="15">
        <f>(B5+'1_Cost_Job'!B16*$A75*B8+'1_Cost_Job'!B17*G$73*B9-B32)/(B5+'1_Cost_Job'!B16*$A75*B8+'1_Cost_Job'!B17*G$73*B9)</f>
        <v/>
      </c>
      <c r="H75" s="15">
        <f>(B5+'1_Cost_Job'!B16*$A75*B8+'1_Cost_Job'!B17*H$73*B9-B32)/(B5+'1_Cost_Job'!B16*$A75*B8+'1_Cost_Job'!B17*H$73*B9)</f>
        <v/>
      </c>
    </row>
    <row r="76">
      <c r="A76" s="37" t="n">
        <v>0.7</v>
      </c>
      <c r="B76" s="15">
        <f>(B5+'1_Cost_Job'!B16*$A76*B8+'1_Cost_Job'!B17*B$73*B9-B32)/(B5+'1_Cost_Job'!B16*$A76*B8+'1_Cost_Job'!B17*B$73*B9)</f>
        <v/>
      </c>
      <c r="C76" s="15">
        <f>(B5+'1_Cost_Job'!B16*$A76*B8+'1_Cost_Job'!B17*C$73*B9-B32)/(B5+'1_Cost_Job'!B16*$A76*B8+'1_Cost_Job'!B17*C$73*B9)</f>
        <v/>
      </c>
      <c r="D76" s="15">
        <f>(B5+'1_Cost_Job'!B16*$A76*B8+'1_Cost_Job'!B17*D$73*B9-B32)/(B5+'1_Cost_Job'!B16*$A76*B8+'1_Cost_Job'!B17*D$73*B9)</f>
        <v/>
      </c>
      <c r="E76" s="15">
        <f>(B5+'1_Cost_Job'!B16*$A76*B8+'1_Cost_Job'!B17*E$73*B9-B32)/(B5+'1_Cost_Job'!B16*$A76*B8+'1_Cost_Job'!B17*E$73*B9)</f>
        <v/>
      </c>
      <c r="F76" s="15">
        <f>(B5+'1_Cost_Job'!B16*$A76*B8+'1_Cost_Job'!B17*F$73*B9-B32)/(B5+'1_Cost_Job'!B16*$A76*B8+'1_Cost_Job'!B17*F$73*B9)</f>
        <v/>
      </c>
      <c r="G76" s="15">
        <f>(B5+'1_Cost_Job'!B16*$A76*B8+'1_Cost_Job'!B17*G$73*B9-B32)/(B5+'1_Cost_Job'!B16*$A76*B8+'1_Cost_Job'!B17*G$73*B9)</f>
        <v/>
      </c>
      <c r="H76" s="15">
        <f>(B5+'1_Cost_Job'!B16*$A76*B8+'1_Cost_Job'!B17*H$73*B9-B32)/(B5+'1_Cost_Job'!B16*$A76*B8+'1_Cost_Job'!B17*H$73*B9)</f>
        <v/>
      </c>
    </row>
    <row r="77">
      <c r="A77" s="37" t="n">
        <v>0.8</v>
      </c>
      <c r="B77" s="15">
        <f>(B5+'1_Cost_Job'!B16*$A77*B8+'1_Cost_Job'!B17*B$73*B9-B32)/(B5+'1_Cost_Job'!B16*$A77*B8+'1_Cost_Job'!B17*B$73*B9)</f>
        <v/>
      </c>
      <c r="C77" s="15">
        <f>(B5+'1_Cost_Job'!B16*$A77*B8+'1_Cost_Job'!B17*C$73*B9-B32)/(B5+'1_Cost_Job'!B16*$A77*B8+'1_Cost_Job'!B17*C$73*B9)</f>
        <v/>
      </c>
      <c r="D77" s="15">
        <f>(B5+'1_Cost_Job'!B16*$A77*B8+'1_Cost_Job'!B17*D$73*B9-B32)/(B5+'1_Cost_Job'!B16*$A77*B8+'1_Cost_Job'!B17*D$73*B9)</f>
        <v/>
      </c>
      <c r="E77" s="15">
        <f>(B5+'1_Cost_Job'!B16*$A77*B8+'1_Cost_Job'!B17*E$73*B9-B32)/(B5+'1_Cost_Job'!B16*$A77*B8+'1_Cost_Job'!B17*E$73*B9)</f>
        <v/>
      </c>
      <c r="F77" s="15">
        <f>(B5+'1_Cost_Job'!B16*$A77*B8+'1_Cost_Job'!B17*F$73*B9-B32)/(B5+'1_Cost_Job'!B16*$A77*B8+'1_Cost_Job'!B17*F$73*B9)</f>
        <v/>
      </c>
      <c r="G77" s="15">
        <f>(B5+'1_Cost_Job'!B16*$A77*B8+'1_Cost_Job'!B17*G$73*B9-B32)/(B5+'1_Cost_Job'!B16*$A77*B8+'1_Cost_Job'!B17*G$73*B9)</f>
        <v/>
      </c>
      <c r="H77" s="15">
        <f>(B5+'1_Cost_Job'!B16*$A77*B8+'1_Cost_Job'!B17*H$73*B9-B32)/(B5+'1_Cost_Job'!B16*$A77*B8+'1_Cost_Job'!B17*H$73*B9)</f>
        <v/>
      </c>
    </row>
    <row r="78">
      <c r="A78" s="37" t="n">
        <v>0.9</v>
      </c>
      <c r="B78" s="15">
        <f>(B5+'1_Cost_Job'!B16*$A78*B8+'1_Cost_Job'!B17*B$73*B9-B32)/(B5+'1_Cost_Job'!B16*$A78*B8+'1_Cost_Job'!B17*B$73*B9)</f>
        <v/>
      </c>
      <c r="C78" s="15">
        <f>(B5+'1_Cost_Job'!B16*$A78*B8+'1_Cost_Job'!B17*C$73*B9-B32)/(B5+'1_Cost_Job'!B16*$A78*B8+'1_Cost_Job'!B17*C$73*B9)</f>
        <v/>
      </c>
      <c r="D78" s="15">
        <f>(B5+'1_Cost_Job'!B16*$A78*B8+'1_Cost_Job'!B17*D$73*B9-B32)/(B5+'1_Cost_Job'!B16*$A78*B8+'1_Cost_Job'!B17*D$73*B9)</f>
        <v/>
      </c>
      <c r="E78" s="15">
        <f>(B5+'1_Cost_Job'!B16*$A78*B8+'1_Cost_Job'!B17*E$73*B9-B32)/(B5+'1_Cost_Job'!B16*$A78*B8+'1_Cost_Job'!B17*E$73*B9)</f>
        <v/>
      </c>
      <c r="F78" s="15">
        <f>(B5+'1_Cost_Job'!B16*$A78*B8+'1_Cost_Job'!B17*F$73*B9-B32)/(B5+'1_Cost_Job'!B16*$A78*B8+'1_Cost_Job'!B17*F$73*B9)</f>
        <v/>
      </c>
      <c r="G78" s="15">
        <f>(B5+'1_Cost_Job'!B16*$A78*B8+'1_Cost_Job'!B17*G$73*B9-B32)/(B5+'1_Cost_Job'!B16*$A78*B8+'1_Cost_Job'!B17*G$73*B9)</f>
        <v/>
      </c>
      <c r="H78" s="15">
        <f>(B5+'1_Cost_Job'!B16*$A78*B8+'1_Cost_Job'!B17*H$73*B9-B32)/(B5+'1_Cost_Job'!B16*$A78*B8+'1_Cost_Job'!B17*H$73*B9)</f>
        <v/>
      </c>
    </row>
    <row r="80">
      <c r="A80" s="16" t="inlineStr">
        <is>
          <t>Cách đọc ma trận</t>
        </is>
      </c>
      <c r="D80" s="11" t="inlineStr">
        <is>
          <t>Đi ngang (cải thiện đường hồ sơ) làm đổi màu ô; đi dọc (cải thiện containment) gần như không đổi màu. Đó là bằng chứng bằng số rằng ưu tiên kỹ thuật số 1 là cụm lỗi 'không mở hồ sơ', không phải chất lượng trả lời nói chung.</t>
        </is>
      </c>
    </row>
  </sheetData>
  <mergeCells count="8">
    <mergeCell ref="A1:D1"/>
    <mergeCell ref="A31:F31"/>
    <mergeCell ref="A50:F50"/>
    <mergeCell ref="A3:F3"/>
    <mergeCell ref="A39:F39"/>
    <mergeCell ref="A72:F72"/>
    <mergeCell ref="A15:F15"/>
    <mergeCell ref="A59:F59"/>
  </mergeCells>
  <conditionalFormatting sqref="C61:C68">
    <cfRule type="cellIs" priority="1" operator="lessThan" dxfId="0">
      <formula>3</formula>
    </cfRule>
    <cfRule type="cellIs" priority="2" operator="greaterThanOrEqual" dxfId="1">
      <formula>3</formula>
    </cfRule>
  </conditionalFormatting>
  <conditionalFormatting sqref="B74:H78">
    <cfRule type="cellIs" priority="3" operator="lessThan" dxfId="0">
      <formula>0.6</formula>
    </cfRule>
    <cfRule type="cellIs" priority="4" operator="between" dxfId="2">
      <formula>0.6</formula>
      <formula>0.6667</formula>
    </cfRule>
    <cfRule type="cellIs" priority="5" operator="greaterThanOrEqual" dxfId="1">
      <formula>0.6667</formula>
    </cfRule>
  </conditionalFormatting>
  <conditionalFormatting sqref="B33">
    <cfRule type="cellIs" priority="6" operator="lessThan" dxfId="0">
      <formula>0.6</formula>
    </cfRule>
    <cfRule type="cellIs" priority="7" operator="greaterThanOrEqual" dxfId="1">
      <formula>0.6</formula>
    </cfRule>
  </conditionalFormatting>
  <conditionalFormatting sqref="B34">
    <cfRule type="cellIs" priority="8" operator="lessThan" dxfId="0">
      <formula>3.0</formula>
    </cfRule>
    <cfRule type="cellIs" priority="9" operator="greaterThanOrEqual" dxfId="1">
      <formula>3.0</formula>
    </cfRule>
  </conditionalFormatting>
  <conditionalFormatting sqref="B55">
    <cfRule type="cellIs" priority="10" operator="lessThan" dxfId="0">
      <formula>0.6</formula>
    </cfRule>
  </conditionalFormatting>
  <conditionalFormatting sqref="B45">
    <cfRule type="cellIs" priority="11" operator="lessThan" dxfId="0">
      <formula>B43</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outlineLevelCol="0"/>
  <cols>
    <col width="62" customWidth="1" min="1" max="1"/>
    <col width="12" customWidth="1" min="2" max="2"/>
    <col width="14" customWidth="1" min="3" max="3"/>
    <col width="88" customWidth="1" min="4" max="4"/>
  </cols>
  <sheetData>
    <row r="1" ht="24" customHeight="1">
      <c r="A1" s="1" t="inlineStr">
        <is>
          <t>3_Value_Metric — Attribution x Autonomy -&gt; don vi tinh tien</t>
        </is>
      </c>
    </row>
    <row r="3">
      <c r="A3" s="2" t="inlineStr">
        <is>
          <t>ATTRIBUTION — ta có ĐO ĐƯỢC rằng kết quả này do AI tạo ra không?  (1 = có, 0 = không)</t>
        </is>
      </c>
    </row>
    <row r="4">
      <c r="A4" t="inlineStr">
        <is>
          <t>Kết quả là một state transition ghi được trong hệ thống của khách?</t>
        </is>
      </c>
      <c r="B4" s="8" t="n">
        <v>1</v>
      </c>
      <c r="D4" s="11" t="inlineStr">
        <is>
          <t>approval_decision_recorded + cửa sổ mở lại — Day 23 §03, §06</t>
        </is>
      </c>
    </row>
    <row r="5">
      <c r="A5" t="inlineStr">
        <is>
          <t>Ta có bộ eval chạy lại được, có ngưỡng, có phiên bản?</t>
        </is>
      </c>
      <c r="B5" s="8" t="n">
        <v>1</v>
      </c>
      <c r="D5" s="11" t="inlineStr">
        <is>
          <t>golden_set 118 ca + heldout 49 ca; từ 26/08/2026 mọi file chấm mang khối provenance (commit, sha256 bộ chấm/run/đáp án/dataset)</t>
        </is>
      </c>
    </row>
    <row r="6">
      <c r="A6" t="inlineStr">
        <is>
          <t>Bộ eval hiện ĐẠT các ngưỡng chặn của chính nó?</t>
        </is>
      </c>
      <c r="B6" s="8" t="n">
        <v>0</v>
      </c>
      <c r="D6" s="11" t="inlineStr">
        <is>
          <t>Lượt 27/08: blocking clean_rate 94,83% trong khi ngưỡng nội bộ là 100%. Còn 4 ca lộ số điện thoại (PDPA), 1 ca grounding, 1 ca cụm từ cấm.</t>
        </is>
      </c>
    </row>
    <row r="7">
      <c r="A7" t="inlineStr">
        <is>
          <t>Ta phân tách được phần đóng góp của AI khỏi phần của con người?</t>
        </is>
      </c>
      <c r="B7" s="8" t="n">
        <v>0</v>
      </c>
      <c r="D7" s="11" t="inlineStr">
        <is>
          <t>Chưa có holdout / A-B trên lưu lượng thật. Không trả lời được câu 'ví vẫn đóng được ca này nếu không có WalletCare'.</t>
        </is>
      </c>
    </row>
    <row r="8">
      <c r="A8" t="inlineStr">
        <is>
          <t>Ta có báo cáo pilot có chữ ký của khách xác nhận con số?</t>
        </is>
      </c>
      <c r="B8" s="8" t="n">
        <v>0</v>
      </c>
      <c r="D8" s="11" t="inlineStr">
        <is>
          <t>Chưa có ví nào chạy pilot. ZaloPay mới ở mức góp ý nghiệp vụ cho demo.</t>
        </is>
      </c>
    </row>
    <row r="9">
      <c r="A9" s="16" t="inlineStr">
        <is>
          <t>Điểm Attribution</t>
        </is>
      </c>
      <c r="B9" s="17">
        <f>B4+B5+B6+B7+B8</f>
        <v/>
      </c>
      <c r="C9" t="inlineStr">
        <is>
          <t>/ 5</t>
        </is>
      </c>
      <c r="D9" s="11" t="inlineStr"/>
    </row>
    <row r="10">
      <c r="A10" t="inlineStr">
        <is>
          <t>Mức Attribution</t>
        </is>
      </c>
      <c r="B10" s="38">
        <f>IF(B9&gt;=4,"CAO",IF(B9&gt;=2,"TRUNG BINH","THAP"))</f>
        <v/>
      </c>
      <c r="C10" t="inlineStr"/>
      <c r="D10" s="11" t="inlineStr"/>
    </row>
    <row r="12">
      <c r="A12" s="2" t="inlineStr">
        <is>
          <t>AUTONOMY — AI có tự chạy hết một job không?  (1 = có, 0 = không)</t>
        </is>
      </c>
    </row>
    <row r="13">
      <c r="A13" t="inlineStr">
        <is>
          <t>AI được phép tự đóng một ca chạm tiền, không cần người?</t>
        </is>
      </c>
      <c r="B13" s="8" t="n">
        <v>0</v>
      </c>
      <c r="D13" s="11" t="inlineStr">
        <is>
          <t>Bị cấm tuyệt đối. Brief §7.1: không có nút nào cho AI hoặc CSKH tự thực thi hoàn tiền / điều chỉnh số dư.</t>
        </is>
      </c>
    </row>
    <row r="14">
      <c r="A14" t="inlineStr">
        <is>
          <t>AI được phép bỏ qua CSKH để trình thẳng sếp?</t>
        </is>
      </c>
      <c r="B14" s="8" t="n">
        <v>0</v>
      </c>
      <c r="D14" s="11" t="inlineStr">
        <is>
          <t>Bị cấm. Brief §7.5 — AI không bao giờ vượt cấp.</t>
        </is>
      </c>
    </row>
    <row r="15">
      <c r="A15" t="inlineStr">
        <is>
          <t>AI tự đóng được ca KHÔNG chạm tiền (tra cứu, hướng dẫn)?</t>
        </is>
      </c>
      <c r="B15" s="8" t="n">
        <v>1</v>
      </c>
      <c r="D15" s="11" t="inlineStr">
        <is>
          <t>Được — đây là lớp A, chiếm 62% lưu lượng.</t>
        </is>
      </c>
    </row>
    <row r="16">
      <c r="A16" t="inlineStr">
        <is>
          <t>AI tự chốt được hướng xử lý mà CSKH không phải đọc lại investigation trail?</t>
        </is>
      </c>
      <c r="B16" s="8" t="n">
        <v>0</v>
      </c>
      <c r="D16" s="11" t="inlineStr">
        <is>
          <t>Không. Toàn bộ thiết kế xoay quanh việc CSKH ĐỌC LẠI trail rồi mới trình. Bằng chứng guardrail giữ được: hitl_ticket_without_confirm = 0 ở lượt 27/08, và lần này quan sát được thật (hitl_tools_observable = true) — nhưng đó là bằng chứng KIỂM SOÁT tốt, không phải autonomy cao.</t>
        </is>
      </c>
    </row>
    <row r="17">
      <c r="A17" t="inlineStr">
        <is>
          <t>Autonomy có thể nâng lên trong 12 tháng tới không?</t>
        </is>
      </c>
      <c r="B17" s="8" t="n">
        <v>0</v>
      </c>
      <c r="D17" s="11" t="inlineStr">
        <is>
          <t>Không. Trần này do tuân thủ đặt ra (Nghị định 52/2024, Thông tư 40/2024), không do kỹ thuật. Có làm model giỏi đến đâu cũng không mở được.</t>
        </is>
      </c>
    </row>
    <row r="18">
      <c r="A18" s="16" t="inlineStr">
        <is>
          <t>Điểm Autonomy</t>
        </is>
      </c>
      <c r="B18" s="17">
        <f>B13+B14+B15+B16+B17</f>
        <v/>
      </c>
      <c r="C18" t="inlineStr">
        <is>
          <t>/ 5</t>
        </is>
      </c>
      <c r="D18" s="11" t="inlineStr"/>
    </row>
    <row r="19">
      <c r="A19" t="inlineStr">
        <is>
          <t>Mức Autonomy</t>
        </is>
      </c>
      <c r="B19" s="38">
        <f>IF(B18&gt;=4,"CAO",IF(B18&gt;=2,"TRUNG BINH","THAP"))</f>
        <v/>
      </c>
      <c r="C19" t="inlineStr"/>
      <c r="D19" s="11" t="inlineStr"/>
    </row>
    <row r="21">
      <c r="A21" s="2" t="inlineStr">
        <is>
          <t>GỢI Ý CỦA MA TRẬN</t>
        </is>
      </c>
    </row>
    <row r="22">
      <c r="A22" s="16" t="inlineStr">
        <is>
          <t>Ma trận gợi ý</t>
        </is>
      </c>
      <c r="B22" s="31">
        <f>IF(AND(B9&gt;=4,B18&gt;=4),"OUTCOME",IF(AND(B9&gt;=4,B18&lt;4),"USAGE",IF(AND(B9&lt;4,B18&gt;=4),"USAGE (an toan)","SEAT / HYBRID")))</f>
        <v/>
      </c>
      <c r="C22" t="inlineStr"/>
      <c r="D22" s="11" t="inlineStr"/>
    </row>
    <row r="23">
      <c r="A23" t="inlineStr">
        <is>
          <t>ĐƠN VỊ TA CHỌN</t>
        </is>
      </c>
      <c r="B23" s="8" t="inlineStr">
        <is>
          <t>HYBRID</t>
        </is>
      </c>
      <c r="C23" t="inlineStr"/>
      <c r="D23" s="11" t="inlineStr">
        <is>
          <t>Phí nền + 2 đơn giá theo ca HOÀN THÀNH</t>
        </is>
      </c>
    </row>
    <row r="24">
      <c r="A24" t="inlineStr">
        <is>
          <t>Có trùng gợi ý không?</t>
        </is>
      </c>
      <c r="B24" s="38">
        <f>IF(ISNUMBER(SEARCH("HYBRID",B22)),"TRUNG - khong can market override","LECH - phai viet ly do thi truong")</f>
        <v/>
      </c>
      <c r="C24" t="inlineStr"/>
      <c r="D24" s="11" t="inlineStr"/>
    </row>
    <row r="26">
      <c r="A26" s="2" t="inlineStr">
        <is>
          <t>DECISION NOTE — ba câu</t>
        </is>
      </c>
    </row>
    <row r="27">
      <c r="A27" s="16" t="inlineStr">
        <is>
          <t>1. Chọn gì</t>
        </is>
      </c>
      <c r="B27" s="39" t="inlineStr">
        <is>
          <t>Hybrid: phí nền 130tr VND/tháng + 1.900 VND cho mỗi ca contained + 12.000 VND cho mỗi hồ sơ được duyệt ngay lần trình đầu. Hồ sơ bị trả về hoặc ca chuyển ra người ngay từ đầu thì không tính tiền.</t>
        </is>
      </c>
    </row>
    <row r="28">
      <c r="A28" s="16" t="inlineStr">
        <is>
          <t>2. Attribution và Autonomy ở mức nào, bằng chứng gì</t>
        </is>
      </c>
      <c r="B28" s="39" t="inlineStr">
        <is>
          <t>Attribution TRUNG BÌNH: có bộ eval 118 ca chạy lại được và từ 26/08 có provenance, nhưng chính bộ eval đó đang trượt ngưỡng chặn của mình (94,83% so với ngưỡng 100%) và ta chưa có holdout để tách phần đóng góp của AI. Autonomy THẤP VĨNH VIỄN: mọi quyết định về tiền do người của ví duyệt — đây là ràng buộc tuân thủ, không phải giới hạn kỹ thuật, nên không nâng được bằng cách làm model tốt hơn.</t>
        </is>
      </c>
    </row>
    <row r="29">
      <c r="A29" s="16" t="inlineStr">
        <is>
          <t>3. Vì sao không phải Seat, không phải Outcome</t>
        </is>
      </c>
      <c r="B29" s="39" t="inlineStr">
        <is>
          <t>Không Seat: một CSKH có thể đẩy qua 40 hồ sơ/ngày hoặc 4 — chi phí biến thiên 10 lần trong khi giá đứng yên; đúng lý do khiến GitHub Copilot phải bỏ mô hình cũ từ 01/06/2026. Không Outcome: xem hai dòng ở 2_Pricing mục BIẾN THỂ B — nhận trách nhiệm giao kết quả cuối biến biên dương thành âm và đòi tỷ lệ hoàn thành 94%, bất khả thi với sản phẩm mà HITL là bắt buộc. Intercom bán được 0,99 $/resolution vì Fin nói thẳng với người dùng cuối và tự đóng ca; WalletCare không có quyền đó.</t>
        </is>
      </c>
    </row>
    <row r="31">
      <c r="A31" s="16" t="inlineStr">
        <is>
          <t>Ranh giới cần nói rõ</t>
        </is>
      </c>
      <c r="B31" s="39" t="inlineStr">
        <is>
          <t>Đơn giá hồ sơ của ta trông giống Outcome nhưng KHÔNG phải Outcome pricing. Ta tính tiền trên một state transition quan sát được trong hệ thống của chính khách (sếp ra quyết định cuối, không bấm 'yêu cầu điều tra thêm') — Attribution cho việc đó là 100%. Outcome pricing là tính tiền trên một KPI kinh doanh mà ta nhận công, ví dụ 'ví tiết kiệm được X đồng' — Attribution cho việc đó ta chưa có. Cùng một cách đo cửa sổ mở lại mà Zendesk và Intercom dùng để định nghĩa resolution.</t>
        </is>
      </c>
    </row>
    <row r="33">
      <c r="A33" s="16" t="inlineStr">
        <is>
          <t>Ghi chú thị trường (không phải override)</t>
        </is>
      </c>
      <c r="B33" s="39" t="inlineStr">
        <is>
          <t>Ví Việt Nam mua theo hợp đồng năm có trần chi tiêu. Bảng giá phải kèm cap/collar: cam kết tối thiểu theo gói và trần 120% gói cam kết. ICONIQ 2026 ghi 92% công ty AI nói chi phí AI khó dự đoán — cap là thứ khách mua, không phải thứ ta nhượng bộ.</t>
        </is>
      </c>
    </row>
    <row r="36">
      <c r="A36" s="2" t="inlineStr">
        <is>
          <t>BENCHMARK NGƯỢC — sản phẩm thật cùng loại job</t>
        </is>
      </c>
    </row>
    <row r="37">
      <c r="A37" s="2" t="inlineStr">
        <is>
          <t>Sản phẩm</t>
        </is>
      </c>
      <c r="B37" s="2" t="inlineStr">
        <is>
          <t>Value Metric</t>
        </is>
      </c>
      <c r="C37" s="2" t="inlineStr">
        <is>
          <t>Giá công bố</t>
        </is>
      </c>
      <c r="D37" s="2" t="inlineStr">
        <is>
          <t>Nguồn (kiểm tra 27/08/2026)</t>
        </is>
      </c>
    </row>
    <row r="38">
      <c r="A38" t="inlineStr">
        <is>
          <t>Intercom Fin</t>
        </is>
      </c>
      <c r="B38" t="inlineStr">
        <is>
          <t>Outcome thuần</t>
        </is>
      </c>
      <c r="C38" s="39" t="inlineStr">
        <is>
          <t>0,99 $/resolution · 9,99 $/qualification. Trên helpdesk bên thứ ba: KHÔNG phí seat, không phí tích hợp, có cam kết tối thiểu (mốc 50 outcome/tháng).</t>
        </is>
      </c>
      <c r="D38" s="40" t="inlineStr">
        <is>
          <t>https://fin.ai/pricing/</t>
        </is>
      </c>
    </row>
    <row r="39">
      <c r="A39" t="inlineStr">
        <is>
          <t>Zendesk</t>
        </is>
      </c>
      <c r="B39" t="inlineStr">
        <is>
          <t>Outcome theo bậc</t>
        </is>
      </c>
      <c r="C39" s="39" t="inlineStr">
        <is>
          <t>Ba bậc, chỉ MỘT bậc bị trừ vào hạn mức: assisted escalation (người hoàn tất — không trừ) · contained resolution (AI xử lý xong, khách không hỏi thêm — không trừ) · verified resolution (AI giải quyết xong, có LLM kiểm chứng — TRỪ hạn mức). Cửa sổ kết thúc hội thoại: 72 giờ email · 2 giờ messaging (chỉnh được tới 72 giờ) · ngay khi cúp máy với thoại. Trang này KHÔNG công bố đơn giá.</t>
        </is>
      </c>
      <c r="D39" s="40" t="inlineStr">
        <is>
          <t>https://support.zendesk.com/hc/en-us/articles/9570369117338-About-automated-resolution-tiers</t>
        </is>
      </c>
    </row>
    <row r="40">
      <c r="A40" t="inlineStr">
        <is>
          <t>Salesforce Agentforce</t>
        </is>
      </c>
      <c r="B40" t="inlineStr">
        <is>
          <t>Hybrid</t>
        </is>
      </c>
      <c r="C40" s="39" t="inlineStr">
        <is>
          <t>5 $/user/tháng + Flex Credits 500 $/100.000 (0,10 $/action) · 2 $/conversation.</t>
        </is>
      </c>
      <c r="D40" s="40" t="inlineStr">
        <is>
          <t>https://www.salesforce.com/agentforce/pricing/</t>
        </is>
      </c>
    </row>
    <row r="41">
      <c r="A41" t="inlineStr">
        <is>
          <t>GitHub Copilot</t>
        </is>
      </c>
      <c r="B41" t="inlineStr">
        <is>
          <t>Usage (đã đổi từ Seat)</t>
        </is>
      </c>
      <c r="C41" s="39" t="inlineStr">
        <is>
          <t>Từ 01/06/2026 chuyển sang AI Credits, 1 credit = 0,01 $. Business 19 $/seat gồm 1.900 credits.</t>
        </is>
      </c>
      <c r="D41" s="40" t="inlineStr">
        <is>
          <t>https://github.blog/news-insights/company-news/github-copilot-is-moving-to-usage-based-billing/</t>
        </is>
      </c>
    </row>
    <row r="43">
      <c r="A43" s="16" t="inlineStr">
        <is>
          <t>Ta đứng ở đâu so với hai benchmark chính</t>
        </is>
      </c>
      <c r="B43" s="39" t="inlineStr">
        <is>
          <t>Ca contained của ta 1.900 VND ≈ 0,073 $ — rẻ hơn Fin khoảng 13,5 lần. Không phải vì ta bán phá giá mà vì mẫu số khác: chi phí một CSKH Việt Nam cho một ticket là 34.091 VND ≈ 1,31 $, còn Fin neo vào chi phí agent tại Mỹ và châu Âu. Hồ sơ điều tra của ta 12.000 VND ≈ 0,46 $, cùng vai với dòng qualification 9,99 $ của Fin về mặt cấu trúc — một đơn vị công việc nặng hơn, giá cao hơn hẳn đơn vị nhẹ — chỉ khác thang giá theo thị trường.</t>
        </is>
      </c>
    </row>
    <row r="44">
      <c r="A44" s="16" t="inlineStr">
        <is>
          <t>Bài học lấy từ Intercom và Zendesk</t>
        </is>
      </c>
      <c r="B44" s="39" t="inlineStr">
        <is>
          <t>Cả hai bỏ rất nhiều công sức định nghĩa CÁI GÌ ĐƯỢC TÍNH TIỀN chứ không phải định giá bao nhiêu. Ta sao chép đúng chỗ đó: hồ sơ bị trả về không tính tiền, ca lỗi kỹ thuật không tính tiền, và cửa sổ mở lại lấy nguyên cách Zendesk phân theo kênh.</t>
        </is>
      </c>
    </row>
    <row r="45">
      <c r="A45" s="16" t="inlineStr">
        <is>
          <t>Ba bậc của Zendesk gần như trùng ba lớp ca của ta</t>
        </is>
      </c>
      <c r="B45" s="39" t="inlineStr">
        <is>
          <t>Kiểm tra trang tài liệu Zendesk ngày 27/08/2026: assisted escalation (người hoàn tất) không bị trừ hạn mức · contained resolution (AI xử lý xong, khách không hỏi thêm) không bị trừ · verified resolution mới bị trừ. Tức Zendesk cũng kết luận rằng ca có người can thiệp KHÔNG được tính tiền như ca AI tự đóng. Ta đi xa hơn một bước và tính tiền cho đường hồ sơ, nhưng chỉ khi nó được duyệt ngay lần trình đầu — vì với FIN-05, hồ sơ điều tra chính là sản phẩm ví bỏ tiền mua, không phải phần thừa của một ca thất bại.</t>
        </is>
      </c>
    </row>
  </sheetData>
  <mergeCells count="14">
    <mergeCell ref="B33:D33"/>
    <mergeCell ref="A1:D1"/>
    <mergeCell ref="B28:D28"/>
    <mergeCell ref="B29:D29"/>
    <mergeCell ref="B31:D31"/>
    <mergeCell ref="A36:F36"/>
    <mergeCell ref="B45:D45"/>
    <mergeCell ref="A26:F26"/>
    <mergeCell ref="B27:D27"/>
    <mergeCell ref="A12:F12"/>
    <mergeCell ref="B44:D44"/>
    <mergeCell ref="B43:D43"/>
    <mergeCell ref="A3:F3"/>
    <mergeCell ref="A21:F21"/>
  </mergeCells>
  <hyperlinks>
    <hyperlink xmlns:r="http://schemas.openxmlformats.org/officeDocument/2006/relationships" ref="D38" r:id="rId1"/>
    <hyperlink xmlns:r="http://schemas.openxmlformats.org/officeDocument/2006/relationships" ref="D39" r:id="rId2"/>
    <hyperlink xmlns:r="http://schemas.openxmlformats.org/officeDocument/2006/relationships" ref="D40" r:id="rId3"/>
    <hyperlink xmlns:r="http://schemas.openxmlformats.org/officeDocument/2006/relationships" ref="D41"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outlineLevelCol="0"/>
  <cols>
    <col width="54" customWidth="1" min="1" max="1"/>
    <col width="18" customWidth="1" min="2" max="2"/>
    <col width="14" customWidth="1" min="3" max="3"/>
    <col width="92" customWidth="1" min="4" max="4"/>
  </cols>
  <sheetData>
    <row r="1" ht="24" customHeight="1">
      <c r="A1" s="1" t="inlineStr">
        <is>
          <t>4_Channel_Fit — Ngan sach CAC · deal/AE/ngay · chot 1 kenh</t>
        </is>
      </c>
    </row>
    <row r="3">
      <c r="A3" s="2" t="inlineStr">
        <is>
          <t>CÔNG CỤ 2 — CHANNEL AFFORDABILITY TEST</t>
        </is>
      </c>
    </row>
    <row r="4">
      <c r="A4" t="inlineStr">
        <is>
          <t>ARPU / tháng / 1 ví (lấy từ 2_Pricing)</t>
        </is>
      </c>
      <c r="B4" s="22">
        <f>'2_Pricing'!B10</f>
        <v/>
      </c>
      <c r="C4" t="inlineStr">
        <is>
          <t>USD</t>
        </is>
      </c>
      <c r="D4" s="11" t="inlineStr"/>
    </row>
    <row r="5">
      <c r="A5" t="inlineStr">
        <is>
          <t>Gross Margin (lấy từ 2_Pricing)</t>
        </is>
      </c>
      <c r="B5" s="18">
        <f>'2_Pricing'!B33</f>
        <v/>
      </c>
      <c r="C5" t="inlineStr"/>
      <c r="D5" s="11" t="inlineStr"/>
    </row>
    <row r="6">
      <c r="A6" t="inlineStr">
        <is>
          <t>Phân khúc</t>
        </is>
      </c>
      <c r="B6" s="8" t="inlineStr">
        <is>
          <t>Enterprise</t>
        </is>
      </c>
      <c r="C6" t="inlineStr"/>
      <c r="D6" s="11" t="inlineStr">
        <is>
          <t>Ví điện tử là tổ chức trung gian thanh toán được NHNN cấp phép; mua hàng qua Procurement + InfoSec + Legal</t>
        </is>
      </c>
    </row>
    <row r="7">
      <c r="A7" t="inlineStr">
        <is>
          <t>CAC payback cho phép</t>
        </is>
      </c>
      <c r="B7" s="12" t="n">
        <v>24</v>
      </c>
      <c r="C7" t="inlineStr">
        <is>
          <t>tháng</t>
        </is>
      </c>
      <c r="D7" s="11" t="inlineStr">
        <is>
          <t>Bessemer 2024: SMB &lt; 12 · Mid &lt; 18 · Enterprise &lt; 24</t>
        </is>
      </c>
    </row>
    <row r="8">
      <c r="A8" s="16" t="inlineStr">
        <is>
          <t>NGAN SACH CAC / khach</t>
        </is>
      </c>
      <c r="B8" s="21">
        <f>B4*B5*B7</f>
        <v/>
      </c>
      <c r="C8" t="inlineStr">
        <is>
          <t>USD</t>
        </is>
      </c>
      <c r="D8" s="11" t="inlineStr"/>
    </row>
    <row r="9">
      <c r="A9" t="inlineStr">
        <is>
          <t xml:space="preserve">   quy ra VND</t>
        </is>
      </c>
      <c r="B9" s="14">
        <f>B8*26000</f>
        <v/>
      </c>
      <c r="C9" t="inlineStr">
        <is>
          <t>VND</t>
        </is>
      </c>
      <c r="D9" s="11" t="inlineStr"/>
    </row>
    <row r="10">
      <c r="A10" t="inlineStr">
        <is>
          <t>ACV</t>
        </is>
      </c>
      <c r="B10" s="22">
        <f>B4*12</f>
        <v/>
      </c>
      <c r="C10" t="inlineStr">
        <is>
          <t>USD</t>
        </is>
      </c>
      <c r="D10" s="11" t="inlineStr"/>
    </row>
    <row r="11">
      <c r="A11" t="inlineStr">
        <is>
          <t xml:space="preserve">   quy ra VND</t>
        </is>
      </c>
      <c r="B11" s="14">
        <f>B10*26000</f>
        <v/>
      </c>
      <c r="C11" t="inlineStr">
        <is>
          <t>VND</t>
        </is>
      </c>
      <c r="D11" s="11" t="inlineStr"/>
    </row>
    <row r="13">
      <c r="A13" s="2" t="inlineStr">
        <is>
          <t>CÔNG CỤ 1 — NGƯỠNG SÀN CỦA INSIDE SALES (Tunguz 2016)</t>
        </is>
      </c>
    </row>
    <row r="14">
      <c r="A14" t="inlineStr">
        <is>
          <t>Chi phí 1 AE fully-loaded / năm</t>
        </is>
      </c>
      <c r="B14" s="25" t="n">
        <v>16153.85</v>
      </c>
      <c r="C14" t="inlineStr">
        <is>
          <t>USD</t>
        </is>
      </c>
      <c r="D14" s="11" t="inlineStr">
        <is>
          <t>35tr VND/tháng × 12</t>
        </is>
      </c>
    </row>
    <row r="15">
      <c r="A15" t="inlineStr">
        <is>
          <t>Bội số quota trên chi phí AE</t>
        </is>
      </c>
      <c r="B15" s="12" t="n">
        <v>5</v>
      </c>
      <c r="C15" t="inlineStr">
        <is>
          <t>lần</t>
        </is>
      </c>
      <c r="D15" s="11" t="inlineStr">
        <is>
          <t>Giả định của Tunguz cho inside sales</t>
        </is>
      </c>
    </row>
    <row r="16">
      <c r="A16" t="inlineStr">
        <is>
          <t>Quota / AE / năm</t>
        </is>
      </c>
      <c r="B16" s="22">
        <f>B14*B15</f>
        <v/>
      </c>
      <c r="C16" t="inlineStr">
        <is>
          <t>USD</t>
        </is>
      </c>
      <c r="D16" s="11" t="inlineStr"/>
    </row>
    <row r="17">
      <c r="A17" t="inlineStr">
        <is>
          <t>Số deal 1 AE phải chốt / năm</t>
        </is>
      </c>
      <c r="B17" s="27">
        <f>B16/B10</f>
        <v/>
      </c>
      <c r="C17" t="inlineStr">
        <is>
          <t>deal</t>
        </is>
      </c>
      <c r="D17" s="11" t="inlineStr"/>
    </row>
    <row r="18">
      <c r="A18" t="inlineStr">
        <is>
          <t>Số deal / AE / ngày làm việc</t>
        </is>
      </c>
      <c r="B18" s="41">
        <f>B17/250</f>
        <v/>
      </c>
      <c r="C18" t="inlineStr">
        <is>
          <t>deal</t>
        </is>
      </c>
      <c r="D18" s="11" t="inlineStr">
        <is>
          <t>Ngưỡng: &lt;= 1 thì Sales-Led khả thi về số học</t>
        </is>
      </c>
    </row>
    <row r="19">
      <c r="A19" s="16" t="inlineStr">
        <is>
          <t>Sales-Led có khả thi về số học không?</t>
        </is>
      </c>
      <c r="B19" s="31">
        <f>IF(B18&lt;=1,"KHA THI","BAT KHA THI")</f>
        <v/>
      </c>
      <c r="C19" t="inlineStr"/>
      <c r="D19" s="11" t="inlineStr"/>
    </row>
    <row r="20">
      <c r="A20" s="16" t="inlineStr">
        <is>
          <t>Đọc kỹ kết quả này</t>
        </is>
      </c>
      <c r="D20" s="11" t="inlineStr">
        <is>
          <t>Một hợp đồng trả xong quota hơn 3 năm của một AE. Nên ràng buộc của WalletCare KHÔNG phải năng suất AE — mà là TAM khoảng 40 ví đang hoạt động tại Việt Nam và chu kỳ mua 6–12 tháng của fintech. Đó là bài toán phủ tài khoản, không phải bài toán thông lượng.</t>
        </is>
      </c>
    </row>
    <row r="22">
      <c r="A22" s="2" t="inlineStr">
        <is>
          <t>CÔNG CỤ 3 — ĐỐI CHIẾU CHI PHÍ THẬT (ICONIQ, The State of GTM in 2026, tr.22)</t>
        </is>
      </c>
    </row>
    <row r="23">
      <c r="A23" t="inlineStr">
        <is>
          <t>Cost per opportunity — phân khúc enterprise</t>
        </is>
      </c>
      <c r="B23" s="25" t="n">
        <v>11200</v>
      </c>
      <c r="C23" t="inlineStr">
        <is>
          <t>USD</t>
        </is>
      </c>
      <c r="D23" s="11" t="inlineStr">
        <is>
          <t>ICONIQ 2026: 6.300 / 8.000 / 11.200 theo phân khúc</t>
        </is>
      </c>
    </row>
    <row r="24">
      <c r="A24" t="inlineStr">
        <is>
          <t>Win rate giả định</t>
        </is>
      </c>
      <c r="B24" s="13" t="n">
        <v>0.25</v>
      </c>
      <c r="C24" t="inlineStr"/>
      <c r="D24" s="11" t="inlineStr"/>
    </row>
    <row r="25">
      <c r="A25" s="16" t="inlineStr">
        <is>
          <t>CAC THUC TE uoc tinh</t>
        </is>
      </c>
      <c r="B25" s="21">
        <f>B23/B24</f>
        <v/>
      </c>
      <c r="C25" t="inlineStr">
        <is>
          <t>USD</t>
        </is>
      </c>
      <c r="D25" s="11" t="inlineStr"/>
    </row>
    <row r="26">
      <c r="A26" t="inlineStr">
        <is>
          <t xml:space="preserve">   quy ra VND</t>
        </is>
      </c>
      <c r="B26" s="14">
        <f>B25*26000</f>
        <v/>
      </c>
      <c r="C26" t="inlineStr">
        <is>
          <t>VND</t>
        </is>
      </c>
      <c r="D26" s="11" t="inlineStr">
        <is>
          <t>Day 24 giả định CAC 300tr VND. Benchmark ICONIQ nói con số đó thấp hơn thực tế khoảng 3,9 lần — đây là một đính chính mang sang từ Day 24.</t>
        </is>
      </c>
    </row>
    <row r="27">
      <c r="A27" t="inlineStr">
        <is>
          <t>Ngân sách CAC / CAC thực tế</t>
        </is>
      </c>
      <c r="B27" s="36">
        <f>B8/B25</f>
        <v/>
      </c>
      <c r="C27" t="inlineStr">
        <is>
          <t>lần</t>
        </is>
      </c>
      <c r="D27" s="11" t="inlineStr">
        <is>
          <t>Phải &gt; 1 thì kênh mới nuôi nổi</t>
        </is>
      </c>
    </row>
    <row r="28">
      <c r="A28" t="inlineStr">
        <is>
          <t>CAC payback thực tế</t>
        </is>
      </c>
      <c r="B28" s="27">
        <f>B25/(B4*B5)</f>
        <v/>
      </c>
      <c r="C28" t="inlineStr">
        <is>
          <t>tháng</t>
        </is>
      </c>
      <c r="D28" s="11" t="inlineStr">
        <is>
          <t>Ngưỡng enterprise: &lt; 24</t>
        </is>
      </c>
    </row>
    <row r="29">
      <c r="A29" t="inlineStr">
        <is>
          <t>Churn tháng giả định</t>
        </is>
      </c>
      <c r="B29" s="13" t="n">
        <v>0.02</v>
      </c>
      <c r="C29" t="inlineStr"/>
      <c r="D29" s="11" t="inlineStr">
        <is>
          <t>Kế thừa Base của Day 24</t>
        </is>
      </c>
    </row>
    <row r="30">
      <c r="A30" t="inlineStr">
        <is>
          <t>LTV (trên gross profit)</t>
        </is>
      </c>
      <c r="B30" s="22">
        <f>B4*B5/B29</f>
        <v/>
      </c>
      <c r="C30" t="inlineStr">
        <is>
          <t>USD</t>
        </is>
      </c>
      <c r="D30" s="11" t="inlineStr"/>
    </row>
    <row r="31">
      <c r="A31" t="inlineStr">
        <is>
          <t>LTV / CAC</t>
        </is>
      </c>
      <c r="B31" s="32">
        <f>B30/B25</f>
        <v/>
      </c>
      <c r="C31" t="inlineStr">
        <is>
          <t>lần</t>
        </is>
      </c>
      <c r="D31" s="11" t="inlineStr">
        <is>
          <t>Ngưỡng Skok: &gt;= 3</t>
        </is>
      </c>
    </row>
    <row r="33">
      <c r="A33" s="2" t="inlineStr">
        <is>
          <t>SCORECARD 3 KÊNH  (1 = rất kém, 5 = rất tốt)</t>
        </is>
      </c>
    </row>
    <row r="34">
      <c r="A34" s="2" t="inlineStr">
        <is>
          <t>Tiêu chí</t>
        </is>
      </c>
      <c r="B34" s="2" t="inlineStr">
        <is>
          <t>PLG</t>
        </is>
      </c>
      <c r="C34" s="2" t="inlineStr">
        <is>
          <t>Sales-Led</t>
        </is>
      </c>
      <c r="D34" s="2" t="inlineStr">
        <is>
          <t>Partner-Led</t>
        </is>
      </c>
    </row>
    <row r="35">
      <c r="A35" t="inlineStr">
        <is>
          <t>Phù hợp với cách khách thật sự mua</t>
        </is>
      </c>
      <c r="B35" s="8" t="n">
        <v>1</v>
      </c>
      <c r="C35" s="8" t="n">
        <v>5</v>
      </c>
      <c r="D35" s="8" t="n">
        <v>3</v>
      </c>
    </row>
    <row r="36">
      <c r="A36" t="inlineStr">
        <is>
          <t>Nuôi nổi bằng ngân sách CAC hiện có</t>
        </is>
      </c>
      <c r="B36" s="8" t="n">
        <v>5</v>
      </c>
      <c r="C36" s="8" t="n">
        <v>5</v>
      </c>
      <c r="D36" s="8" t="n">
        <v>4</v>
      </c>
    </row>
    <row r="37">
      <c r="A37" t="inlineStr">
        <is>
          <t>Đội 6 người chạy sâu được trong 90 ngày</t>
        </is>
      </c>
      <c r="B37" s="8" t="n">
        <v>2</v>
      </c>
      <c r="C37" s="8" t="n">
        <v>4</v>
      </c>
      <c r="D37" s="8" t="n">
        <v>2</v>
      </c>
    </row>
    <row r="38">
      <c r="A38" t="inlineStr">
        <is>
          <t>Vượt qua được Procurement / InfoSec / Legal</t>
        </is>
      </c>
      <c r="B38" s="8" t="n">
        <v>1</v>
      </c>
      <c r="C38" s="8" t="n">
        <v>4</v>
      </c>
      <c r="D38" s="8" t="n">
        <v>3</v>
      </c>
    </row>
    <row r="39">
      <c r="A39" t="inlineStr">
        <is>
          <t>Có bằng chứng cụ thể để bắt đầu ngay tuần này</t>
        </is>
      </c>
      <c r="B39" s="8" t="n">
        <v>1</v>
      </c>
      <c r="C39" s="8" t="n">
        <v>5</v>
      </c>
      <c r="D39" s="8" t="n">
        <v>2</v>
      </c>
    </row>
    <row r="40">
      <c r="A40" t="inlineStr">
        <is>
          <t>Không phụ thuộc một bên ta không kiểm soát</t>
        </is>
      </c>
      <c r="B40" s="8" t="n">
        <v>5</v>
      </c>
      <c r="C40" s="8" t="n">
        <v>5</v>
      </c>
      <c r="D40" s="8" t="n">
        <v>1</v>
      </c>
    </row>
    <row r="41">
      <c r="A41" s="16" t="inlineStr">
        <is>
          <t>TỔNG</t>
        </is>
      </c>
      <c r="B41" s="31">
        <f>SUM(B35:B40)</f>
        <v/>
      </c>
      <c r="C41" s="31">
        <f>SUM(C35:C40)</f>
        <v/>
      </c>
      <c r="D41" s="31">
        <f>SUM(D35:D40)</f>
        <v/>
      </c>
    </row>
    <row r="42">
      <c r="A42" t="inlineStr">
        <is>
          <t>KENH CHOT CHO 90 NGAY DAU</t>
        </is>
      </c>
      <c r="B42" s="8" t="inlineStr">
        <is>
          <t>Sales-Led (named account / ABM)</t>
        </is>
      </c>
      <c r="C42" t="inlineStr"/>
      <c r="D42" s="11" t="inlineStr">
        <is>
          <t>Đúng MỘT kênh. 90 ngày, đội 6 người, chỉ đủ sức làm sâu một kênh.</t>
        </is>
      </c>
    </row>
    <row r="44">
      <c r="A44" s="2" t="inlineStr">
        <is>
          <t>GIẢI TRÌNH TỪNG KÊNH</t>
        </is>
      </c>
    </row>
    <row r="45">
      <c r="A45" s="16" t="inlineStr">
        <is>
          <t>PLG — loại, vì lý do cấu trúc</t>
        </is>
      </c>
      <c r="B45" s="39" t="inlineStr">
        <is>
          <t>Không ví nào cho một tài khoản tự đăng ký đọc sổ cái giao dịch của khách hàng họ. Kết nối MCP vào hệ thống ví bắt buộc qua hợp đồng, thẩm định an ninh và rà soát pháp lý theo Nghị định 52/2024 và Thông tư 40/2024. PLG ở đây không phải kém hiệu quả — nó bất khả thi.</t>
        </is>
      </c>
    </row>
    <row r="46">
      <c r="A46" s="16" t="inlineStr">
        <is>
          <t>Sales-Led — chọn</t>
        </is>
      </c>
      <c r="B46" s="39" t="inlineStr">
        <is>
          <t>Số học ủng hộ tuyệt đối: ngân sách CAC lớn hơn CAC thực tế khoảng 8,6 lần, payback dưới 3 tháng, và một AE chỉ cần chốt 0,31 deal mỗi năm để đạt quota. Danh sách tài khoản đích hữu hạn và biết tên: khoảng 40 ví đang hoạt động, trong đó ZaloPay đã có tiếp xúc nghiệp vụ.</t>
        </is>
      </c>
    </row>
    <row r="47">
      <c r="A47" s="16" t="inlineStr">
        <is>
          <t>Partner-Led — hoãn sang tháng 4, có tên cụ thể</t>
        </is>
      </c>
      <c r="B47" s="39" t="inlineStr">
        <is>
          <t>Hai ứng viên: NAPAS — mọi khiếu nại 'chạm ngân hàng' đều đi qua quy trình tra soát của NAPAS, nên họ là nút thắt tự nhiên; và FPT IS hoặc Viettel Solutions với vai trò nhà tích hợp hệ thống đã có quan hệ sẵn với các tổ chức tài chính Việt Nam. TRẠNG THÁI: CHƯA LIÊN HỆ CẢ HAI. Chưa liên hệ thì chưa phải là một kênh, chỉ là một giả thuyết.</t>
        </is>
      </c>
    </row>
    <row r="48">
      <c r="A48" s="16" t="inlineStr">
        <is>
          <t>Cách phủ định giả thuyết Partner-Led trong 2 tuần</t>
        </is>
      </c>
      <c r="B48" s="39" t="inlineStr">
        <is>
          <t>Xin một cuộc gặp 30 phút với ban hợp tác của NAPAS và hỏi đúng một câu: họ có sẵn sàng giới thiệu một công cụ điều tra khiếu nại cho các ví thành viên không, và điều kiện là gì. Không đặt được lịch trong 2 tuần thì gạch khỏi kế hoạch, không giữ lại cho đẹp slide.</t>
        </is>
      </c>
    </row>
    <row r="50">
      <c r="A50" s="16" t="inlineStr">
        <is>
          <t>Quan hệ đã có — nói đúng mức, không thổi phồng</t>
        </is>
      </c>
      <c r="B50" s="39" t="inlineStr">
        <is>
          <t>ZaloPay: PO của nhóm đã gặp 2 lần để lấy góc nhìn nghiệp vụ và phản hồi cho demo (Brief §mở đầu). Đây CHƯA phải một cuộc nói chuyện thương mại, chưa có người mua được xác định, chưa có ngân sách. Trong 90 ngày tới việc cần làm là chuyển từ quan hệ góp ý sang một cuộc gặp có mặt trưởng bộ phận CSKH.</t>
        </is>
      </c>
    </row>
  </sheetData>
  <mergeCells count="11">
    <mergeCell ref="A1:D1"/>
    <mergeCell ref="A33:F33"/>
    <mergeCell ref="A13:F13"/>
    <mergeCell ref="B45:D45"/>
    <mergeCell ref="A44:F44"/>
    <mergeCell ref="B46:D46"/>
    <mergeCell ref="B50:D50"/>
    <mergeCell ref="A22:F22"/>
    <mergeCell ref="A3:F3"/>
    <mergeCell ref="B47:D47"/>
    <mergeCell ref="B48:D48"/>
  </mergeCells>
  <conditionalFormatting sqref="B27">
    <cfRule type="cellIs" priority="1" operator="lessThan" dxfId="0">
      <formula>1</formula>
    </cfRule>
    <cfRule type="cellIs" priority="2" operator="greaterThanOrEqual" dxfId="1">
      <formula>1</formula>
    </cfRule>
  </conditionalFormatting>
  <conditionalFormatting sqref="B31">
    <cfRule type="cellIs" priority="3" operator="lessThan" dxfId="0">
      <formula>3</formula>
    </cfRule>
    <cfRule type="cellIs" priority="4" operator="greaterThanOrEqual" dxfId="1">
      <formula>3</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outlineLevelCol="0"/>
  <cols>
    <col width="30" customWidth="1" min="1" max="1"/>
    <col width="46" customWidth="1" min="2" max="2"/>
    <col width="30" customWidth="1" min="3" max="3"/>
    <col width="62" customWidth="1" min="4" max="4"/>
  </cols>
  <sheetData>
    <row r="1" ht="24" customHeight="1">
      <c r="A1" s="1" t="inlineStr">
        <is>
          <t>5_90Day_Plan — Pain Moment · ke hoach 90 ngay · Evidence Pack</t>
        </is>
      </c>
    </row>
    <row r="3">
      <c r="A3" s="2" t="inlineStr">
        <is>
          <t>PAIN MOMENT — đủ ba phần</t>
        </is>
      </c>
    </row>
    <row r="4">
      <c r="A4" s="16" t="inlineStr">
        <is>
          <t>MẤY GIỜ</t>
        </is>
      </c>
      <c r="B4" s="39" t="inlineStr">
        <is>
          <t>9h40 sáng thứ Hai — hàng chờ khiếu nại tồn từ cuối tuần vừa đổ về, khoảng 180 ticket.</t>
        </is>
      </c>
    </row>
    <row r="5">
      <c r="A5" s="16" t="inlineStr">
        <is>
          <t>ĐANG LÀM GÌ</t>
        </is>
      </c>
      <c r="B5" s="39" t="inlineStr">
        <is>
          <t>Ngân, CSKH tuyến 1, vừa bị sếp trả về một hồ sơ với lý do 'thiếu căn cứ'. Vòng thứ hai này tốn thêm khoảng 40 phút điều tra lại và một cuộc gọi lại khách, trong khi SLA tra soát vẫn đang chạy.</t>
        </is>
      </c>
    </row>
    <row r="6">
      <c r="A6" s="16" t="inlineStr">
        <is>
          <t>DÙNG APP NÀO</t>
        </is>
      </c>
      <c r="B6" s="39" t="inlineStr">
        <is>
          <t>Màn hình chi tiết ticket trong công cụ CSKH nội bộ của ví, mở song song tab đối soát giao dịch. Không phải trình duyệt rảnh, không phải một web app khác.</t>
        </is>
      </c>
    </row>
    <row r="8">
      <c r="A8" s="16" t="inlineStr">
        <is>
          <t>ĐIỂM NHÚNG suy ra từ Pain Moment</t>
        </is>
      </c>
      <c r="B8" s="39" t="inlineStr">
        <is>
          <t>Ba bề mặt, không cái nào là website riêng: (1) MCP / API connector đọc hệ thống giao dịch của ví — khái niệm 'co_vi' đã có sẵn trong mã nguồn; (2) panel dựng ngay trong màn hình chi tiết ticket của công cụ CSKH mà ví đang dùng, ghi ngược vào máy trạng thái ticket của họ; (3) widget chat trong chính app ví cho lớp A. Ngân không mở thêm tab nào.</t>
        </is>
      </c>
    </row>
    <row r="9">
      <c r="A9" s="16" t="inlineStr">
        <is>
          <t>Cái giá của việc nhúng — nói thẳng</t>
        </is>
      </c>
      <c r="B9" s="39" t="inlineStr">
        <is>
          <t>Nhúng vào công cụ của khách nghĩa là ta không sở hữu giao diện, không sở hữu tài khoản người dùng, và mỗi ví lại là một tích hợp riêng. Intercom chấp nhận bỏ hẳn doanh thu seat để nhúng được Fin vào helpdesk bên thứ ba. Ta đang trả cái giá tương đương bằng chi phí tích hợp, và đó là lý do phí nền 130tr tồn tại.</t>
        </is>
      </c>
    </row>
    <row r="12">
      <c r="A12" s="2" t="inlineStr">
        <is>
          <t>KẾ HOẠCH 90 NGÀY</t>
        </is>
      </c>
    </row>
    <row r="13">
      <c r="A13" s="2" t="inlineStr">
        <is>
          <t>Giai đoạn</t>
        </is>
      </c>
      <c r="B13" s="2" t="inlineStr">
        <is>
          <t>Mục tiêu</t>
        </is>
      </c>
      <c r="C13" s="2" t="inlineStr">
        <is>
          <t>Người chịu trách nhiệm</t>
        </is>
      </c>
      <c r="D13" s="2" t="inlineStr">
        <is>
          <t>KPI đo được</t>
        </is>
      </c>
    </row>
    <row r="14" ht="96" customHeight="1">
      <c r="A14" s="42" t="inlineStr">
        <is>
          <t>Tháng 1 — 09/2026
HỌC, KHÔNG BÁN</t>
        </is>
      </c>
      <c r="B14" s="42" t="inlineStr">
        <is>
          <t>Đóng lỗ hổng đo lường trước khi đóng lỗ hổng sản phẩm. Viết runner T3/T4/T5 để report.md thôi trống. Xử lý nguyên nhân hệ thống mà file chấm 27/08 chỉ ra: business_config rỗng khiến prompt rơi về khung chung nên agent gần như không mở hồ sơ.</t>
        </is>
      </c>
      <c r="C14" s="42" t="inlineStr">
        <is>
          <t>Lê Quang Huy (PM) — eval và điều phối
Engineer 1 — seed business_config, định tuyến skill</t>
        </is>
      </c>
      <c r="D14" s="42" t="inlineStr">
        <is>
          <t>missed_expected_ticket: 96/97 → &lt;= 10/97
blocking clean_rate: 94,83% → 100%
PDPA phone leak: 4 ca → 0 ca
tools_required_satisfied: 21,55% → &gt;= 70%
Số hợp đồng ký trong tháng: 0 (cố ý)</t>
        </is>
      </c>
    </row>
    <row r="15" ht="96" customHeight="1">
      <c r="A15" s="42" t="inlineStr">
        <is>
          <t>Tháng 2–3 — 10–11/2026
ĐÒN BẨY TRÊN MỘT VÍ</t>
        </is>
      </c>
      <c r="B15" s="42" t="inlineStr">
        <is>
          <t>Pilot có số ở đúng MỘT ví: 4 tuần shadow (agent chạy, không hiện với khách, so với quyết định thật của người) rồi 4 tuần live trên lớp A. Song song chạy 5 tài khoản đích cho kênh Sales-Led.</t>
        </is>
      </c>
      <c r="C15" s="42" t="inlineStr">
        <is>
          <t>Lê Quang Huy — báo cáo pilot
Engineer 2 — connector MCP + panel trong console ví
AE — 5 tài khoản đích</t>
        </is>
      </c>
      <c r="D15" s="42" t="inlineStr">
        <is>
          <t>Tỷ lệ hồ sơ duyệt-lần-đầu &gt;= 46,67% (ngưỡng sống ở 2_Pricing)
Cost/Job &lt;= 0,065 $
Lao động người &lt;= 55% COGS
2 cuộc gặp cấp trưởng bộ phận CSKH</t>
        </is>
      </c>
    </row>
    <row r="16" ht="96" customHeight="1">
      <c r="A16" s="42" t="inlineStr">
        <is>
          <t>Tháng 4+ — từ 12/2026
MỞ RỘNG, CÓ ĐIỀU KIỆN</t>
        </is>
      </c>
      <c r="B16" s="42" t="inlineStr">
        <is>
          <t>Chỉ mở rộng khi một ví đã đạt tỷ lệ hoàn thành &gt;= 68% ba tháng liên tiếp VÀ đã có Pilot Report được khách xác nhận. Ngách kế tiếp: công ty tài chính tiêu dùng — cùng loại khiếu nại, cùng khung pháp lý, khác quy mô.</t>
        </is>
      </c>
      <c r="C16" s="42" t="inlineStr">
        <is>
          <t>Cả nhóm</t>
        </is>
      </c>
      <c r="D16" s="42" t="inlineStr">
        <is>
          <t>Điều kiện mở rộng đạt / chưa đạt (nhị phân, không thương lượng)
Ví thứ hai ký hợp đồng</t>
        </is>
      </c>
    </row>
    <row r="18">
      <c r="A18" s="16" t="inlineStr">
        <is>
          <t>Vì sao tháng 1 đặt mục tiêu ký 0 hợp đồng</t>
        </is>
      </c>
      <c r="B18" s="39" t="inlineStr">
        <is>
          <t>Vì bảng giá ở 2_Pricing chỉ đứng được khi tỷ lệ hồ sơ duyệt-lần-đầu vượt 46,67%, và hôm nay nó là 1,03%. Ký hợp đồng trước khi đóng khoảng cách đó là bán một thứ ta biết chắc chưa giao được — và mất luôn tài khoản đó cho lần sau.</t>
        </is>
      </c>
    </row>
    <row r="21">
      <c r="A21" s="2" t="inlineStr">
        <is>
          <t>EVIDENCE PACK — ba tài sản</t>
        </is>
      </c>
    </row>
    <row r="22">
      <c r="A22" s="2" t="inlineStr">
        <is>
          <t>Tài sản</t>
        </is>
      </c>
      <c r="B22" s="2" t="inlineStr">
        <is>
          <t>Đang có gì (cụ thể)</t>
        </is>
      </c>
      <c r="C22" s="2" t="inlineStr">
        <is>
          <t>Còn thiếu gì</t>
        </is>
      </c>
      <c r="D22" s="2" t="inlineStr">
        <is>
          <t>Ai làm · hạn chót</t>
        </is>
      </c>
    </row>
    <row r="23" ht="118" customHeight="1">
      <c r="A23" s="42" t="inlineStr">
        <is>
          <t>1. Eval Results
(Day 20–21)</t>
        </is>
      </c>
      <c r="B23" s="42" t="inlineStr">
        <is>
          <t>CÓ MỘT PHẦN. Bộ golden 118 ca + held-out 49 ca, harness chạy lại được, thẻ điểm 3 mức. Lượt 26–27/08/2026 có khối provenance: commit 10d30e5, sha256 của bộ chấm, file run, bộ đáp án và dataset. Kết quả: blocking clean_rate 94,83%; hitl_ticket_without_confirm = 0 và lần này quan sát được.</t>
        </is>
      </c>
      <c r="C23" s="42" t="inlineStr">
        <is>
          <t>report.md vẫn trống. Chưa chấm trên held-out. Blocking chưa đạt ngưỡng 0 vi phạm: còn 4 ca lộ số điện thoại, 1 grounding, 1 cụm từ cấm. Chưa đo resolution nên chưa có số cho containment lớp A.</t>
        </is>
      </c>
      <c r="D23" s="42" t="inlineStr">
        <is>
          <t>Lê Quang Huy
30/09/2026</t>
        </is>
      </c>
    </row>
    <row r="24" ht="118" customHeight="1">
      <c r="A24" s="42" t="inlineStr">
        <is>
          <t>2. Risk Checklist
(Day 22)</t>
        </is>
      </c>
      <c r="B24" s="42" t="inlineStr">
        <is>
          <t>CÓ NGUYÊN LIỆU, CHƯA CÓ BẢN CHO SẢN PHẨM NÀY. Bản Day 22 làm trên TriageMate (y tế), không dùng lại được. Nguyên liệu sẵn: 6 ràng buộc bắt buộc ở Brief §7, 6 rào cứng đã có trong mã nguồn (grounding, leak, money, claim, input, spending guard), Nghị định 52/2024, Thông tư 40/2024, Nghị định 13/2023 về dữ liệu cá nhân.</t>
        </is>
      </c>
      <c r="C24" s="42" t="inlineStr">
        <is>
          <t>Chưa có văn bản trả lời ba câu của Procurement. Chưa có DPA mẫu. Chưa có SOC 2 và sẽ chưa có trong 12 tháng tới — phải nói thẳng chứ không né.</t>
        </is>
      </c>
      <c r="D24" s="42" t="inlineStr">
        <is>
          <t>Lê Quang Huy
15/09/2026</t>
        </is>
      </c>
    </row>
    <row r="25" ht="118" customHeight="1">
      <c r="A25" s="42" t="inlineStr">
        <is>
          <t>3. Pilot Report</t>
        </is>
      </c>
      <c r="B25" s="42" t="inlineStr">
        <is>
          <t>CHƯA CÓ. Chưa ví nào chạy pilot. ZaloPay mới ở mức góp ý nghiệp vụ cho demo, PO đã gặp 2 lần.</t>
        </is>
      </c>
      <c r="C25" s="42" t="inlineStr">
        <is>
          <t>Toàn bộ: chưa chọn ví, chưa ký thoả thuận pilot, chưa có baseline thời gian xử lý của ví để so.</t>
        </is>
      </c>
      <c r="D25" s="42" t="inlineStr">
        <is>
          <t>Lê Quang Huy + AE
Ký thoả thuận pilot 15/10/2026
Báo cáo 30/11/2026</t>
        </is>
      </c>
    </row>
    <row r="27">
      <c r="A27" s="2" t="inlineStr">
        <is>
          <t>BA CÂU PROCUREMENT SẼ HỎI — bản trả lời nháp</t>
        </is>
      </c>
    </row>
    <row r="28" ht="96" customHeight="1">
      <c r="A28" s="43" t="inlineStr">
        <is>
          <t>AI này có bịa không? Nếu nó nói sai với khách của tôi thì sao?</t>
        </is>
      </c>
      <c r="B28" s="39" t="inlineStr">
        <is>
          <t>Ba lớp, kiểm chứng được. (1) AI không bao giờ quyết định về tiền — mọi đề xuất đi qua CSKH của quý vị rồi tới cấp duyệt của quý vị. (2) Mọi con số trong hồ sơ phải trích dẫn được về một tool result cụ thể; grounding guard đối chiếu số agent viết ra với số hệ thống trả về, chứ không đoán ý qua từ ngữ. (3) Chỉ số này được đo và ngưỡng là 0 vi phạm. Số thật hôm nay: 1 vi phạm grounding trên 155 numeric claim ở lượt 27/08/2026 — chưa đạt ngưỡng, và chúng tôi báo cáo con số đó thay vì làm tròn.</t>
        </is>
      </c>
    </row>
    <row r="29" ht="96" customHeight="1">
      <c r="A29" s="43" t="inlineStr">
        <is>
          <t>Dữ liệu của tôi có bị dùng để train model không?</t>
        </is>
      </c>
      <c r="B29" s="39" t="inlineStr">
        <is>
          <t>Không, và có ba tầng bảo đảm. Điều khoản hợp đồng cấm dùng dữ liệu khách để huấn luyện. Dữ liệu định danh được che trước khi rời hệ thống (số tài khoản, số điện thoại, số giấy tờ) — hiện có leak guard cho việc này, và số thật hôm nay là 4 ca lộ số điện thoại trên 116 ca, đang là hạng mục sửa ưu tiên. Log giữ 90 ngày, mã hoá. Bản triển khai trong hạ tầng của quý vị là một lựa chọn có sẵn — đó vốn là định vị của sản phẩm.</t>
        </is>
      </c>
    </row>
    <row r="30" ht="96" customHeight="1">
      <c r="A30" s="43" t="inlineStr">
        <is>
          <t>Startup này chết thì dữ liệu của tôi ở đâu?</t>
        </is>
      </c>
      <c r="B30" s="39" t="inlineStr">
        <is>
          <t>Hệ thống ghi nhận chính thức vẫn là công cụ CSKH của quý vị, không phải của chúng tôi — chúng tôi là một panel cắm vào đó. Ngoài ra: API xuất toàn bộ hồ sơ và log kiểm toán ra JSON mở, bất cứ lúc nào; ký gửi KB và kho cấu hình prompt; điều khoản hỗ trợ chuyển đổi 90 ngày. Chúng tôi chưa có SOC 2 và sẽ chưa có trong 12 tháng tới; thay vào đó chúng tôi đưa kết quả eval có provenance theo quý và cho phép quý vị tự chạy lại bộ eval trên môi trường của mình.</t>
        </is>
      </c>
    </row>
  </sheetData>
  <mergeCells count="14">
    <mergeCell ref="A1:D1"/>
    <mergeCell ref="B28:D28"/>
    <mergeCell ref="B5:D5"/>
    <mergeCell ref="B29:D29"/>
    <mergeCell ref="B8:D8"/>
    <mergeCell ref="B4:D4"/>
    <mergeCell ref="A27:F27"/>
    <mergeCell ref="B9:D9"/>
    <mergeCell ref="B18:D18"/>
    <mergeCell ref="A12:F12"/>
    <mergeCell ref="B30:D30"/>
    <mergeCell ref="A3:F3"/>
    <mergeCell ref="A21:F21"/>
    <mergeCell ref="B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outlineLevelCol="0"/>
  <cols>
    <col width="30" customWidth="1" min="1" max="1"/>
    <col width="40" customWidth="1" min="2" max="2"/>
    <col width="26" customWidth="1" min="3" max="3"/>
    <col width="16" customWidth="1" min="4" max="4"/>
    <col width="62" customWidth="1" min="5" max="5"/>
  </cols>
  <sheetData>
    <row r="1" ht="24" customHeight="1">
      <c r="A1" s="1" t="inlineStr">
        <is>
          <t>6_Benchmarks — bang gia tham chieu, CO NGUON va CO NGAY KIEM TRA</t>
        </is>
      </c>
    </row>
    <row r="3">
      <c r="A3" s="16" t="inlineStr">
        <is>
          <t>Một mô hình không ghi ngày là một mô hình không tin được.</t>
        </is>
      </c>
      <c r="D3" s="11" t="inlineStr"/>
    </row>
    <row r="5">
      <c r="A5" s="2" t="inlineStr">
        <is>
          <t>GIÁ API — dùng trực tiếp trong Cost/Job</t>
        </is>
      </c>
    </row>
    <row r="6">
      <c r="A6" s="2" t="inlineStr">
        <is>
          <t>Hạng mục</t>
        </is>
      </c>
      <c r="B6" s="2" t="inlineStr">
        <is>
          <t>Giá</t>
        </is>
      </c>
      <c r="C6" s="2" t="inlineStr">
        <is>
          <t>Đơn vị</t>
        </is>
      </c>
      <c r="D6" s="2" t="inlineStr">
        <is>
          <t>Ngày kiểm tra</t>
        </is>
      </c>
      <c r="E6" s="2" t="inlineStr">
        <is>
          <t>Nguồn</t>
        </is>
      </c>
    </row>
    <row r="7">
      <c r="A7" s="44" t="inlineStr">
        <is>
          <t>deepseek-v4-flash · cache hit</t>
        </is>
      </c>
      <c r="B7" s="42" t="inlineStr">
        <is>
          <t>0,007 off-peak / 0,014 peak</t>
        </is>
      </c>
      <c r="C7" s="44" t="inlineStr">
        <is>
          <t>USD / 1M token</t>
        </is>
      </c>
      <c r="D7" s="44" t="inlineStr">
        <is>
          <t>27/08/2026</t>
        </is>
      </c>
      <c r="E7" s="45" t="inlineStr">
        <is>
          <t>https://api-docs.deepseek.com/quick_start/pricing</t>
        </is>
      </c>
    </row>
    <row r="8">
      <c r="A8" s="44" t="inlineStr">
        <is>
          <t>deepseek-v4-flash · cache miss</t>
        </is>
      </c>
      <c r="B8" s="42" t="inlineStr">
        <is>
          <t>0,22 off-peak / 0,44 peak</t>
        </is>
      </c>
      <c r="C8" s="44" t="inlineStr">
        <is>
          <t>USD / 1M token</t>
        </is>
      </c>
      <c r="D8" s="44" t="inlineStr">
        <is>
          <t>27/08/2026</t>
        </is>
      </c>
      <c r="E8" s="45" t="inlineStr">
        <is>
          <t>https://api-docs.deepseek.com/quick_start/pricing</t>
        </is>
      </c>
    </row>
    <row r="9">
      <c r="A9" s="44" t="inlineStr">
        <is>
          <t>deepseek-v4-flash · output</t>
        </is>
      </c>
      <c r="B9" s="42" t="inlineStr">
        <is>
          <t>0,66 off-peak / 1,32 peak</t>
        </is>
      </c>
      <c r="C9" s="44" t="inlineStr">
        <is>
          <t>USD / 1M token</t>
        </is>
      </c>
      <c r="D9" s="44" t="inlineStr">
        <is>
          <t>27/08/2026</t>
        </is>
      </c>
      <c r="E9" s="45" t="inlineStr">
        <is>
          <t>https://api-docs.deepseek.com/quick_start/pricing</t>
        </is>
      </c>
    </row>
    <row r="10">
      <c r="A10" s="44" t="inlineStr">
        <is>
          <t>Khung giờ peak của DeepSeek</t>
        </is>
      </c>
      <c r="B10" s="42" t="inlineStr">
        <is>
          <t>01:00–04:00 và 06:00–10:00 UTC, thứ Hai–thứ Sáu</t>
        </is>
      </c>
      <c r="C10" s="44" t="inlineStr">
        <is>
          <t>tức 08–11h và 13–17h giờ VN</t>
        </is>
      </c>
      <c r="D10" s="44" t="inlineStr">
        <is>
          <t>27/08/2026</t>
        </is>
      </c>
      <c r="E10" s="45" t="inlineStr">
        <is>
          <t>https://api-docs.deepseek.com/quick_start/pricing</t>
        </is>
      </c>
    </row>
    <row r="11">
      <c r="A11" s="44" t="inlineStr">
        <is>
          <t>Claude Haiku 4.5</t>
        </is>
      </c>
      <c r="B11" s="42" t="inlineStr">
        <is>
          <t>1,00 input / 5,00 output · cache write 1,25 · cache read 0,10</t>
        </is>
      </c>
      <c r="C11" s="44" t="inlineStr">
        <is>
          <t>USD / 1M token</t>
        </is>
      </c>
      <c r="D11" s="44" t="inlineStr">
        <is>
          <t>27/08/2026</t>
        </is>
      </c>
      <c r="E11" s="45" t="inlineStr">
        <is>
          <t>https://platform.claude.com/docs/en/about-claude/pricing</t>
        </is>
      </c>
    </row>
    <row r="12">
      <c r="A12" s="44" t="inlineStr">
        <is>
          <t>Claude Sonnet 5</t>
        </is>
      </c>
      <c r="B12" s="42" t="inlineStr">
        <is>
          <t>2,00 input / 10,00 output · cache write 2,50 · cache read 0,20</t>
        </is>
      </c>
      <c r="C12" s="44" t="inlineStr">
        <is>
          <t>USD / 1M token</t>
        </is>
      </c>
      <c r="D12" s="44" t="inlineStr">
        <is>
          <t>27/08/2026</t>
        </is>
      </c>
      <c r="E12" s="45" t="inlineStr">
        <is>
          <t>https://platform.claude.com/docs/en/about-claude/pricing</t>
        </is>
      </c>
    </row>
    <row r="13">
      <c r="A13" s="44" t="inlineStr">
        <is>
          <t>Claude Opus 5</t>
        </is>
      </c>
      <c r="B13" s="42" t="inlineStr">
        <is>
          <t>5,00 input / 25,00 output</t>
        </is>
      </c>
      <c r="C13" s="44" t="inlineStr">
        <is>
          <t>USD / 1M token</t>
        </is>
      </c>
      <c r="D13" s="44" t="inlineStr">
        <is>
          <t>27/08/2026</t>
        </is>
      </c>
      <c r="E13" s="45" t="inlineStr">
        <is>
          <t>https://platform.claude.com/docs/en/about-claude/pricing</t>
        </is>
      </c>
    </row>
    <row r="14">
      <c r="A14" s="44" t="inlineStr">
        <is>
          <t>Batch API (Anthropic)</t>
        </is>
      </c>
      <c r="B14" s="42" t="inlineStr">
        <is>
          <t>giảm 50% cả input lẫn output</t>
        </is>
      </c>
      <c r="C14" s="44" t="inlineStr">
        <is>
          <t>hệ số</t>
        </is>
      </c>
      <c r="D14" s="44" t="inlineStr">
        <is>
          <t>27/08/2026</t>
        </is>
      </c>
      <c r="E14" s="45" t="inlineStr">
        <is>
          <t>https://platform.claude.com/docs/en/about-claude/pricing</t>
        </is>
      </c>
    </row>
    <row r="15">
      <c r="A15" s="44" t="inlineStr">
        <is>
          <t>Prompt caching (Anthropic)</t>
        </is>
      </c>
      <c r="B15" s="42" t="inlineStr">
        <is>
          <t>cache write 5 phút = 1,25x input · cache read = 0,1x input</t>
        </is>
      </c>
      <c r="C15" s="44" t="inlineStr">
        <is>
          <t>hệ số</t>
        </is>
      </c>
      <c r="D15" s="44" t="inlineStr">
        <is>
          <t>27/08/2026</t>
        </is>
      </c>
      <c r="E15" s="45" t="inlineStr">
        <is>
          <t>https://platform.claude.com/docs/en/about-claude/pricing</t>
        </is>
      </c>
    </row>
    <row r="17">
      <c r="A17" s="16" t="inlineStr">
        <is>
          <t>Đính chính giá so với tài liệu Lab</t>
        </is>
      </c>
      <c r="B17" s="39" t="inlineStr">
        <is>
          <t>Tài liệu Lab đánh dấu Claude Sonnet 5 ở mức 2/10 $ là giá khuyến mại sẽ tăng lên 3/15 $ từ 01/09/2026. Kiểm tra trang giá ngày 27/08/2026 cho thấy Anthropic đã công bố mức 2/10 $ trở thành giá chuẩn và đợt tăng đó SẼ KHÔNG diễn ra. Đây đúng là lý do §3.3 bắt tự mở lại trang giá thay vì chép số trong slide.</t>
        </is>
      </c>
    </row>
    <row r="18">
      <c r="A18" s="16" t="inlineStr">
        <is>
          <t>Rủi ro giá riêng của nhà cung cấp đang dùng</t>
        </is>
      </c>
      <c r="B18" s="39" t="inlineStr">
        <is>
          <t>DeepSeek tính giá gấp đôi trong khung peak, và khung peak của họ trùng gần khít giờ hành chính Việt Nam — nơi toàn bộ lưu lượng CSKH nằm. Mô hình dùng tỷ lệ 65% peak. Kịch bản 100% peak nằm ở bảng độ nhạy của 2_Pricing.</t>
        </is>
      </c>
    </row>
    <row r="20">
      <c r="A20" s="2" t="inlineStr">
        <is>
          <t>GIÁ SẢN PHẨM AI — dùng để benchmark Value Metric</t>
        </is>
      </c>
    </row>
    <row r="21">
      <c r="A21" s="2" t="inlineStr">
        <is>
          <t>Sản phẩm</t>
        </is>
      </c>
      <c r="B21" s="2" t="inlineStr">
        <is>
          <t>Giá</t>
        </is>
      </c>
      <c r="C21" s="2" t="inlineStr">
        <is>
          <t>Value Metric</t>
        </is>
      </c>
      <c r="D21" s="2" t="inlineStr">
        <is>
          <t>Ngày kiểm tra</t>
        </is>
      </c>
      <c r="E21" s="2" t="inlineStr">
        <is>
          <t>Nguồn</t>
        </is>
      </c>
    </row>
    <row r="22">
      <c r="A22" s="44" t="inlineStr">
        <is>
          <t>Intercom Fin</t>
        </is>
      </c>
      <c r="B22" s="42" t="inlineStr">
        <is>
          <t>0,99 $/resolution · 9,99 $/qualification; trên helpdesk bên thứ ba không phí seat, có cam kết tối thiểu</t>
        </is>
      </c>
      <c r="C22" s="44" t="inlineStr">
        <is>
          <t>Outcome</t>
        </is>
      </c>
      <c r="D22" s="44" t="inlineStr">
        <is>
          <t>27/08/2026</t>
        </is>
      </c>
      <c r="E22" s="45" t="inlineStr">
        <is>
          <t>https://fin.ai/pricing/</t>
        </is>
      </c>
    </row>
    <row r="23">
      <c r="A23" s="44" t="inlineStr">
        <is>
          <t>Zendesk</t>
        </is>
      </c>
      <c r="B23" s="42" t="inlineStr">
        <is>
          <t>Ba bậc: assisted escalation · contained resolution · verified resolution — chỉ bậc thứ ba bị trừ hạn mức và phải qua LLM kiểm chứng. Cửa sổ kết thúc: 72h email · 2h messaging (chỉnh tới 72h) · ngay khi cúp máy. KHÔNG công bố đơn giá trên trang này; con số 1,50 $/resolution lưu hành là từ blog, không phải trang giá.</t>
        </is>
      </c>
      <c r="C23" s="44" t="inlineStr">
        <is>
          <t>Outcome theo bậc</t>
        </is>
      </c>
      <c r="D23" s="44" t="inlineStr">
        <is>
          <t>27/08/2026</t>
        </is>
      </c>
      <c r="E23" s="45" t="inlineStr">
        <is>
          <t>https://support.zendesk.com/hc/en-us/articles/9570369117338-About-automated-resolution-tiers</t>
        </is>
      </c>
    </row>
    <row r="24">
      <c r="A24" s="44" t="inlineStr">
        <is>
          <t>Salesforce Agentforce</t>
        </is>
      </c>
      <c r="B24" s="42" t="inlineStr">
        <is>
          <t>5 $/user/tháng · Flex Credits 500 $/100.000 (0,10 $/action) · 2 $/conversation</t>
        </is>
      </c>
      <c r="C24" s="44" t="inlineStr">
        <is>
          <t>Hybrid</t>
        </is>
      </c>
      <c r="D24" s="44" t="inlineStr">
        <is>
          <t>26/08/2026 (theo §3.5 Lab)</t>
        </is>
      </c>
      <c r="E24" s="45" t="inlineStr">
        <is>
          <t>https://www.salesforce.com/agentforce/pricing/</t>
        </is>
      </c>
    </row>
    <row r="25">
      <c r="A25" s="44" t="inlineStr">
        <is>
          <t>GitHub Copilot</t>
        </is>
      </c>
      <c r="B25" s="42" t="inlineStr">
        <is>
          <t>Từ 01/06/2026 chuyển sang AI Credits, 1 credit = 0,01 $</t>
        </is>
      </c>
      <c r="C25" s="44" t="inlineStr">
        <is>
          <t>Usage (đổi từ Seat)</t>
        </is>
      </c>
      <c r="D25" s="44" t="inlineStr">
        <is>
          <t>26/08/2026 (theo §3.5 Lab)</t>
        </is>
      </c>
      <c r="E25" s="45" t="inlineStr">
        <is>
          <t>https://github.blog/news-insights/company-news/github-copilot-is-moving-to-usage-based-billing/</t>
        </is>
      </c>
    </row>
    <row r="27">
      <c r="A27" s="2" t="inlineStr">
        <is>
          <t>BENCHMARK BIÊN LỢI NHUẬN VÀ GTM</t>
        </is>
      </c>
    </row>
    <row r="28">
      <c r="A28" s="2" t="inlineStr">
        <is>
          <t>Chỉ số</t>
        </is>
      </c>
      <c r="B28" s="2" t="inlineStr">
        <is>
          <t>Giá trị</t>
        </is>
      </c>
      <c r="C28" s="2" t="inlineStr">
        <is>
          <t>Nguồn tổ chức</t>
        </is>
      </c>
      <c r="D28" s="2" t="inlineStr">
        <is>
          <t>Ngày</t>
        </is>
      </c>
      <c r="E28" s="2" t="inlineStr">
        <is>
          <t>Đường dẫn</t>
        </is>
      </c>
    </row>
    <row r="29">
      <c r="A29" s="44" t="inlineStr">
        <is>
          <t>Gross Margin AI-native</t>
        </is>
      </c>
      <c r="B29" s="42" t="inlineStr">
        <is>
          <t>~45% (2025) → ~53% (2026E) → ~59% (2027E)</t>
        </is>
      </c>
      <c r="C29" s="44" t="inlineStr">
        <is>
          <t>ICONIQ, State of AI 2026</t>
        </is>
      </c>
      <c r="D29" s="44" t="inlineStr">
        <is>
          <t>26/08/2026 (theo §3.5 Lab)</t>
        </is>
      </c>
      <c r="E29" s="45" t="inlineStr">
        <is>
          <t>https://www.iconiq.com/growth/reports/state-of-ai-2026</t>
        </is>
      </c>
    </row>
    <row r="30">
      <c r="A30" s="44" t="inlineStr">
        <is>
          <t>Gross Margin vertical AI</t>
        </is>
      </c>
      <c r="B30" s="42" t="inlineStr">
        <is>
          <t>~65%; chi phí model ~10% doanh thu</t>
        </is>
      </c>
      <c r="C30" s="44" t="inlineStr">
        <is>
          <t>Bessemer, State of the Cloud 2024</t>
        </is>
      </c>
      <c r="D30" s="44" t="inlineStr">
        <is>
          <t>26/08/2026 (theo §3.5 Lab)</t>
        </is>
      </c>
      <c r="E30" s="45" t="inlineStr">
        <is>
          <t>https://www.bvp.com/atlas/state-of-the-cloud-2024</t>
        </is>
      </c>
    </row>
    <row r="31">
      <c r="A31" s="44" t="inlineStr">
        <is>
          <t>CAC payback cho phép</t>
        </is>
      </c>
      <c r="B31" s="42" t="inlineStr">
        <is>
          <t>SMB &lt; 12 · Mid &lt; 18 · Enterprise &lt; 24 tháng</t>
        </is>
      </c>
      <c r="C31" s="44" t="inlineStr">
        <is>
          <t>Bessemer, Scaling to $100M</t>
        </is>
      </c>
      <c r="D31" s="44" t="inlineStr">
        <is>
          <t>26/08/2026 (theo §3.5 Lab)</t>
        </is>
      </c>
      <c r="E31" s="45" t="inlineStr">
        <is>
          <t>https://www.bvp.com/atlas/state-of-the-cloud-2024</t>
        </is>
      </c>
    </row>
    <row r="32">
      <c r="A32" s="44" t="inlineStr">
        <is>
          <t>Cost per opportunity</t>
        </is>
      </c>
      <c r="B32" s="42" t="inlineStr">
        <is>
          <t>6.300 / 8.000 / 11.200 $ theo phân khúc</t>
        </is>
      </c>
      <c r="C32" s="44" t="inlineStr">
        <is>
          <t>ICONIQ, State of GTM in 2026, tr.22</t>
        </is>
      </c>
      <c r="D32" s="44" t="inlineStr">
        <is>
          <t>26/08/2026 (theo §3.5 Lab)</t>
        </is>
      </c>
      <c r="E32" s="45" t="inlineStr">
        <is>
          <t>https://www.iconiq.com</t>
        </is>
      </c>
    </row>
    <row r="33">
      <c r="A33" s="44" t="inlineStr">
        <is>
          <t>LTV / CAC</t>
        </is>
      </c>
      <c r="B33" s="42" t="inlineStr">
        <is>
          <t>&gt;= 3 (tốt nhất 7–8x); payback tốt nhất 5–7 tháng</t>
        </is>
      </c>
      <c r="C33" s="44" t="inlineStr">
        <is>
          <t>David Skok, SaaS Metrics 2.0</t>
        </is>
      </c>
      <c r="D33" s="44" t="inlineStr">
        <is>
          <t>26/08/2026 (theo §3.5 Lab)</t>
        </is>
      </c>
      <c r="E33" s="45" t="inlineStr">
        <is>
          <t>https://www.forentrepreneurs.com/saas-metrics-2/</t>
        </is>
      </c>
    </row>
    <row r="34">
      <c r="A34" s="44" t="inlineStr">
        <is>
          <t>Ngưỡng ACV nuôi inside sales</t>
        </is>
      </c>
      <c r="B34" s="42" t="inlineStr">
        <is>
          <t>~3.000 $, kèm giả định để tính lại</t>
        </is>
      </c>
      <c r="C34" s="44" t="inlineStr">
        <is>
          <t>Tomasz Tunguz, 2016</t>
        </is>
      </c>
      <c r="D34" s="44" t="inlineStr">
        <is>
          <t>26/08/2026 (theo §3.5 Lab)</t>
        </is>
      </c>
      <c r="E34" s="45" t="inlineStr">
        <is>
          <t>https://tomtunguz.com/smallest-acv-to-justify-inside-sales-team/</t>
        </is>
      </c>
    </row>
    <row r="35">
      <c r="A35" s="44" t="inlineStr">
        <is>
          <t>Chi phí AI khó dự đoán</t>
        </is>
      </c>
      <c r="B35" s="42" t="inlineStr">
        <is>
          <t>92% công ty AI xác nhận; 84% đẩy một phần chi phí token sang khách</t>
        </is>
      </c>
      <c r="C35" s="44" t="inlineStr">
        <is>
          <t>ICONIQ, State of AI 2026</t>
        </is>
      </c>
      <c r="D35" s="44" t="inlineStr">
        <is>
          <t>26/08/2026 (theo §3.5 Lab)</t>
        </is>
      </c>
      <c r="E35" s="45" t="inlineStr">
        <is>
          <t>https://www.iconiq.com/growth/reports/state-of-ai-2026</t>
        </is>
      </c>
    </row>
    <row r="37">
      <c r="A37" s="2" t="inlineStr">
        <is>
          <t>NGUỒN NỘI BỘ — bằng chứng lấy từ chính sản phẩm</t>
        </is>
      </c>
    </row>
    <row r="38">
      <c r="A38" s="2" t="inlineStr">
        <is>
          <t>Số liệu</t>
        </is>
      </c>
      <c r="B38" s="2" t="inlineStr">
        <is>
          <t>Giá trị</t>
        </is>
      </c>
      <c r="C38" s="2" t="inlineStr">
        <is>
          <t>Lấy ở đâu</t>
        </is>
      </c>
      <c r="D38" s="2" t="inlineStr">
        <is>
          <t>Ngày</t>
        </is>
      </c>
      <c r="E38" s="2" t="inlineStr">
        <is>
          <t>Cảnh báo</t>
        </is>
      </c>
    </row>
    <row r="39">
      <c r="A39" s="44" t="inlineStr">
        <is>
          <t>blocking clean_rate</t>
        </is>
      </c>
      <c r="B39" s="42" t="inlineStr">
        <is>
          <t>94,83% (6/116 ca vi phạm)</t>
        </is>
      </c>
      <c r="C39" s="44" t="inlineStr">
        <is>
          <t>eval/results/run-2026-08-27-sau-seed-scored.json</t>
        </is>
      </c>
      <c r="D39" s="44" t="inlineStr">
        <is>
          <t>27/08/2026</t>
        </is>
      </c>
      <c r="E39" s="42" t="inlineStr">
        <is>
          <t>Ngưỡng nội bộ là 100%. Có provenance: commit 10d30e5.</t>
        </is>
      </c>
    </row>
    <row r="40">
      <c r="A40" s="44" t="inlineStr">
        <is>
          <t>missed_expected_ticket</t>
        </is>
      </c>
      <c r="B40" s="42" t="inlineStr">
        <is>
          <t>96 / 97 ca kỳ vọng</t>
        </is>
      </c>
      <c r="C40" s="44" t="inlineStr">
        <is>
          <t>cùng file trên</t>
        </is>
      </c>
      <c r="D40" s="44" t="inlineStr">
        <is>
          <t>27/08/2026</t>
        </is>
      </c>
      <c r="E40" s="42" t="inlineStr">
        <is>
          <t>Chẩn đoán trong file: nguyên nhân HỆ THỐNG (business_config rỗng), không phải lỗi rải rác từng ca.</t>
        </is>
      </c>
    </row>
    <row r="41">
      <c r="A41" s="44" t="inlineStr">
        <is>
          <t>hitl_ticket_without_confirm</t>
        </is>
      </c>
      <c r="B41" s="42" t="inlineStr">
        <is>
          <t>0</t>
        </is>
      </c>
      <c r="C41" s="44" t="inlineStr">
        <is>
          <t>cùng file trên</t>
        </is>
      </c>
      <c r="D41" s="44" t="inlineStr">
        <is>
          <t>27/08/2026</t>
        </is>
      </c>
      <c r="E41" s="42" t="inlineStr">
        <is>
          <t>hitl_tools_observable = true — lượt 22/08 con số này KHÔNG quan sát được vì tool lưu nhãn hiển thị.</t>
        </is>
      </c>
    </row>
    <row r="42">
      <c r="A42" s="44" t="inlineStr">
        <is>
          <t>PDPA phone leak</t>
        </is>
      </c>
      <c r="B42" s="42" t="inlineStr">
        <is>
          <t>4 ca (029, 038, 151, 155)</t>
        </is>
      </c>
      <c r="C42" s="44" t="inlineStr">
        <is>
          <t>cùng file trên</t>
        </is>
      </c>
      <c r="D42" s="44" t="inlineStr">
        <is>
          <t>27/08/2026</t>
        </is>
      </c>
      <c r="E42" s="42" t="inlineStr">
        <is>
          <t>Ngưỡng là 0. Đây là hạng mục Procurement sẽ hỏi đầu tiên.</t>
        </is>
      </c>
    </row>
    <row r="43">
      <c r="A43" s="44" t="inlineStr">
        <is>
          <t>tools_required_satisfied</t>
        </is>
      </c>
      <c r="B43" s="42" t="inlineStr">
        <is>
          <t>21,55%</t>
        </is>
      </c>
      <c r="C43" s="44" t="inlineStr">
        <is>
          <t>cùng file trên</t>
        </is>
      </c>
      <c r="D43" s="44" t="inlineStr">
        <is>
          <t>27/08/2026</t>
        </is>
      </c>
      <c r="E43" s="42" t="inlineStr"/>
    </row>
    <row r="44">
      <c r="A44" s="44" t="inlineStr">
        <is>
          <t>AGENT_MAX_STEPS</t>
        </is>
      </c>
      <c r="B44" s="42" t="inlineStr">
        <is>
          <t>8</t>
        </is>
      </c>
      <c r="C44" s="44" t="inlineStr">
        <is>
          <t>_meta của lượt chạy</t>
        </is>
      </c>
      <c r="D44" s="44" t="inlineStr">
        <is>
          <t>27/08/2026</t>
        </is>
      </c>
      <c r="E44" s="42" t="inlineStr">
        <is>
          <t>Lượt 22/08 chạy ở 6 — mô hình token dùng 8.</t>
        </is>
      </c>
    </row>
    <row r="45">
      <c r="A45" s="44" t="inlineStr">
        <is>
          <t>Độ trễ p50 / p90</t>
        </is>
      </c>
      <c r="B45" s="42" t="inlineStr">
        <is>
          <t>6,17 s / 13,64 s</t>
        </is>
      </c>
      <c r="C45" s="44" t="inlineStr">
        <is>
          <t>BRIEF-2026-08-15</t>
        </is>
      </c>
      <c r="D45" s="44" t="inlineStr">
        <is>
          <t>15/08/2026</t>
        </is>
      </c>
      <c r="E45" s="42" t="inlineStr">
        <is>
          <t>Đo ở môi trường seed sai; dùng để ước chi phí compute, không dùng làm SLA.</t>
        </is>
      </c>
    </row>
    <row r="46">
      <c r="A46" s="44" t="inlineStr">
        <is>
          <t>agent_token_budget</t>
        </is>
      </c>
      <c r="B46" s="42" t="inlineStr">
        <is>
          <t>120.000 token / hội thoại</t>
        </is>
      </c>
      <c r="C46" s="44" t="inlineStr">
        <is>
          <t>src/core/config.py</t>
        </is>
      </c>
      <c r="D46" s="44" t="inlineStr">
        <is>
          <t>27/08/2026</t>
        </is>
      </c>
      <c r="E46" s="42" t="inlineStr">
        <is>
          <t>Trần cứng, chặn một hội thoại nổ chi phí.</t>
        </is>
      </c>
    </row>
    <row r="47">
      <c r="A47" s="44" t="inlineStr">
        <is>
          <t>Đơn giá metering trong mã</t>
        </is>
      </c>
      <c r="B47" s="42" t="inlineStr">
        <is>
          <t>0,0005 $/1k prompt · 0,0015 $/1k completion · 0,001 $/MCP call</t>
        </is>
      </c>
      <c r="C47" s="44" t="inlineStr">
        <is>
          <t>src/core/config.py</t>
        </is>
      </c>
      <c r="D47" s="44" t="inlineStr">
        <is>
          <t>27/08/2026</t>
        </is>
      </c>
      <c r="E47" s="42" t="inlineStr">
        <is>
          <t>Là giá ƯỚC TÍNH cho báo cáo billing, KHÔNG phải giá hợp đồng.</t>
        </is>
      </c>
    </row>
    <row r="49">
      <c r="A49" s="16" t="inlineStr">
        <is>
          <t>Bài học đắt nhất trong thư mục eval, và nó thuộc về bài Day 25 này</t>
        </is>
      </c>
      <c r="B49" s="39" t="inlineStr">
        <is>
          <t>Cùng một sản phẩm, cùng một ngày, hai bộ chấm khác nhau cho ra 25% và 94,8% — và không cách nào biết vì sao, vì file cũ không ghi phiên bản bộ chấm. Một lượt chạy hỏng vì môi trường (bảng phiên rỗng, mọi tool trả lỗi) lại được chấm CAO ở tầng vi phạm chặn, vì không tra được thì không có số nào để bịa. Một lượt bị 429 ở 70/118 ca được chấm 99,14%, cao hơn lượt chạy thật. Đó là lý do từ 26/08/2026 mọi file chấm mang provenance. Với bài này: nếu Value Metric của bạn tính tiền theo kết quả, thì con số kết quả phải TÁI LẬP ĐƯỢC, không chỉ phải TỒN TẠI. Bán Outcome trên một con số không có provenance là ký hợp đồng dựa trên số ngẫu nhiên.</t>
        </is>
      </c>
    </row>
  </sheetData>
  <mergeCells count="8">
    <mergeCell ref="B17:E17"/>
    <mergeCell ref="B18:E18"/>
    <mergeCell ref="A20:E20"/>
    <mergeCell ref="B49:E49"/>
    <mergeCell ref="A1:E1"/>
    <mergeCell ref="A5:E5"/>
    <mergeCell ref="A37:E37"/>
    <mergeCell ref="A27:E27"/>
  </mergeCells>
  <hyperlinks>
    <hyperlink xmlns:r="http://schemas.openxmlformats.org/officeDocument/2006/relationships" ref="E7" r:id="rId1"/>
    <hyperlink xmlns:r="http://schemas.openxmlformats.org/officeDocument/2006/relationships" ref="E8"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2" r:id="rId6"/>
    <hyperlink xmlns:r="http://schemas.openxmlformats.org/officeDocument/2006/relationships" ref="E13" r:id="rId7"/>
    <hyperlink xmlns:r="http://schemas.openxmlformats.org/officeDocument/2006/relationships" ref="E14" r:id="rId8"/>
    <hyperlink xmlns:r="http://schemas.openxmlformats.org/officeDocument/2006/relationships" ref="E15" r:id="rId9"/>
    <hyperlink xmlns:r="http://schemas.openxmlformats.org/officeDocument/2006/relationships" ref="E22" r:id="rId10"/>
    <hyperlink xmlns:r="http://schemas.openxmlformats.org/officeDocument/2006/relationships" ref="E23" r:id="rId11"/>
    <hyperlink xmlns:r="http://schemas.openxmlformats.org/officeDocument/2006/relationships" ref="E24" r:id="rId12"/>
    <hyperlink xmlns:r="http://schemas.openxmlformats.org/officeDocument/2006/relationships" ref="E25" r:id="rId13"/>
    <hyperlink xmlns:r="http://schemas.openxmlformats.org/officeDocument/2006/relationships" ref="E29" r:id="rId14"/>
    <hyperlink xmlns:r="http://schemas.openxmlformats.org/officeDocument/2006/relationships" ref="E30" r:id="rId15"/>
    <hyperlink xmlns:r="http://schemas.openxmlformats.org/officeDocument/2006/relationships" ref="E31" r:id="rId16"/>
    <hyperlink xmlns:r="http://schemas.openxmlformats.org/officeDocument/2006/relationships" ref="E32" r:id="rId17"/>
    <hyperlink xmlns:r="http://schemas.openxmlformats.org/officeDocument/2006/relationships" ref="E33" r:id="rId18"/>
    <hyperlink xmlns:r="http://schemas.openxmlformats.org/officeDocument/2006/relationships" ref="E34" r:id="rId19"/>
    <hyperlink xmlns:r="http://schemas.openxmlformats.org/officeDocument/2006/relationships" ref="E35"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2026-08-27T05:54:13Z</dcterms:created>
  <dcterms:modified xsi:type="dcterms:W3CDTF">2026-08-27T05:54:14Z</dcterms:modified>
</cp:coreProperties>
</file>